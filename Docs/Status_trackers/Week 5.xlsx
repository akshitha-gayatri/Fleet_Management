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<sst xmlns="http://schemas.openxmlformats.org/spreadsheetml/2006/main" count="133" uniqueCount="50">
  <si>
    <t>TEAM NUMBER</t>
  </si>
  <si>
    <t>PROJECT NAME</t>
  </si>
  <si>
    <t>Fleet Management</t>
  </si>
  <si>
    <t>PROJECT MENTOR (sponsor)</t>
  </si>
  <si>
    <t>Akhil</t>
  </si>
  <si>
    <t>Activity Name</t>
  </si>
  <si>
    <t>Type</t>
  </si>
  <si>
    <t>Responsible</t>
  </si>
  <si>
    <t>Estimated Team Hours</t>
  </si>
  <si>
    <t>Actual Hours</t>
  </si>
  <si>
    <t>Status</t>
  </si>
  <si>
    <t>Time Calculation Error</t>
  </si>
  <si>
    <t>Week 1 (January 16 - January 21)</t>
  </si>
  <si>
    <t>GIT Repository setup</t>
  </si>
  <si>
    <t>Preparation</t>
  </si>
  <si>
    <t>Aryanil</t>
  </si>
  <si>
    <t>Done</t>
  </si>
  <si>
    <t>Client meeting</t>
  </si>
  <si>
    <t>Coordination</t>
  </si>
  <si>
    <t>Aviral</t>
  </si>
  <si>
    <t>Research existing technology</t>
  </si>
  <si>
    <t>Sherley</t>
  </si>
  <si>
    <t>Team Meeting</t>
  </si>
  <si>
    <t>Team MoM Writeup</t>
  </si>
  <si>
    <t>Documentation</t>
  </si>
  <si>
    <t>Status tracker</t>
  </si>
  <si>
    <t>Satvik</t>
  </si>
  <si>
    <t>Week 2 (January 22 - January  28)</t>
  </si>
  <si>
    <t>Project Synopsis Writeup</t>
  </si>
  <si>
    <t>Project Plan Document</t>
  </si>
  <si>
    <t>Akshitha</t>
  </si>
  <si>
    <t>Software Requirement Specification</t>
  </si>
  <si>
    <t>Week 3 (January 29 - February 4)</t>
  </si>
  <si>
    <t>Reasearch TSP Algorithm for Routing</t>
  </si>
  <si>
    <t>VROOM</t>
  </si>
  <si>
    <t>Update Status Tracker</t>
  </si>
  <si>
    <t>Week 4 (February 5 - February 11)</t>
  </si>
  <si>
    <t>Reasearch Grasshopper Optimisation Technique</t>
  </si>
  <si>
    <t>Research on Data Acquisition</t>
  </si>
  <si>
    <t>Data Importing Techniques</t>
  </si>
  <si>
    <t>Planned</t>
  </si>
  <si>
    <t>Research Heuristics Algorithms</t>
  </si>
  <si>
    <t>Research on Geocoding</t>
  </si>
  <si>
    <t>Research on PgRouting</t>
  </si>
  <si>
    <t>Week 5 (February 12 - February 18)</t>
  </si>
  <si>
    <t>Laying Base Framework for Vroom</t>
  </si>
  <si>
    <t>Development</t>
  </si>
  <si>
    <t>Implememtation of Functions</t>
  </si>
  <si>
    <t>Sherley, Satvik, Akshita</t>
  </si>
  <si>
    <t>Geocoding Implementation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</si>
</sst>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Arial"/>
    </font>
    <font>
      <sz val="14.0"/>
      <color theme="1"/>
      <name val="Arial"/>
    </font>
    <font>
      <color theme="1"/>
      <name val="Arial"/>
    </font>
    <font>
      <b/>
      <color theme="1"/>
      <name val="Arial"/>
    </font>
    <font>
      <color rgb="FF181A1B"/>
      <name val="Arial"/>
    </font>
  </fonts>
  <fills count="6">
    <fill>
      <patternFill patternType="none"/>
    </fill>
    <fill>
      <patternFill patternType="lightGray"/>
    </fill>
    <fill>
      <patternFill patternType="solid">
        <fgColor rgb="FF969696"/>
        <bgColor rgb="FF969696"/>
      </patternFill>
    </fill>
    <fill>
      <patternFill patternType="solid">
        <fgColor rgb="FFDD0806"/>
        <bgColor rgb="FFDD0806"/>
      </patternFill>
    </fill>
    <fill>
      <patternFill patternType="solid">
        <fgColor rgb="FF006411"/>
        <bgColor rgb="FF006411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49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2" fontId="4" numFmtId="0" xfId="0" applyFill="1" applyFont="1"/>
    <xf borderId="0" fillId="2" fontId="4" numFmtId="49" xfId="0" applyAlignment="1" applyFont="1" applyNumberFormat="1">
      <alignment shrinkToFit="0" wrapText="1"/>
    </xf>
    <xf borderId="0" fillId="2" fontId="4" numFmtId="49" xfId="0" applyFont="1" applyNumberFormat="1"/>
    <xf borderId="0" fillId="3" fontId="3" numFmtId="0" xfId="0" applyAlignment="1" applyFill="1" applyFont="1">
      <alignment vertical="bottom"/>
    </xf>
    <xf borderId="0" fillId="2" fontId="4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2" fontId="3" numFmtId="49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4" fontId="3" numFmtId="49" xfId="0" applyAlignment="1" applyFill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1"/>
    </xf>
    <xf borderId="0" fillId="4" fontId="5" numFmtId="49" xfId="0" applyAlignment="1" applyFont="1" applyNumberFormat="1">
      <alignment vertical="bottom"/>
    </xf>
    <xf borderId="0" fillId="4" fontId="3" numFmtId="49" xfId="0" applyAlignment="1" applyFont="1" applyNumberFormat="1">
      <alignment readingOrder="0" vertical="bottom"/>
    </xf>
    <xf borderId="0" fillId="0" fontId="5" numFmtId="0" xfId="0" applyAlignment="1" applyFont="1">
      <alignment horizontal="right" vertical="bottom"/>
    </xf>
    <xf borderId="0" fillId="5" fontId="5" numFmtId="49" xfId="0" applyAlignment="1" applyFill="1" applyFont="1" applyNumberFormat="1">
      <alignment vertical="bottom"/>
    </xf>
    <xf borderId="0" fillId="4" fontId="5" numFmtId="49" xfId="0" applyAlignment="1" applyFont="1" applyNumberFormat="1">
      <alignment readingOrder="0" vertical="bottom"/>
    </xf>
    <xf borderId="0" fillId="2" fontId="4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5" fontId="5" numFmtId="49" xfId="0" applyAlignment="1" applyFont="1" applyNumberFormat="1">
      <alignment readingOrder="0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63"/>
    <col customWidth="1" min="2" max="2" width="23.25"/>
    <col customWidth="1" min="3" max="3" width="25.25"/>
  </cols>
  <sheetData>
    <row r="1">
      <c r="A1" s="1" t="s">
        <v>0</v>
      </c>
      <c r="B1" s="2">
        <v>28.0</v>
      </c>
      <c r="C1" s="3"/>
      <c r="D1" s="3"/>
      <c r="E1" s="3"/>
      <c r="F1" s="4"/>
      <c r="G1" s="3"/>
      <c r="H1" s="3"/>
    </row>
    <row r="2">
      <c r="A2" s="5" t="s">
        <v>1</v>
      </c>
      <c r="B2" s="2" t="s">
        <v>2</v>
      </c>
      <c r="C2" s="3"/>
      <c r="D2" s="3"/>
      <c r="E2" s="3"/>
      <c r="F2" s="4"/>
      <c r="G2" s="3"/>
      <c r="H2" s="3"/>
    </row>
    <row r="3">
      <c r="A3" s="5" t="s">
        <v>3</v>
      </c>
      <c r="B3" s="2" t="s">
        <v>4</v>
      </c>
      <c r="C3" s="3"/>
      <c r="D3" s="3"/>
      <c r="E3" s="3"/>
      <c r="F3" s="4"/>
      <c r="G3" s="3"/>
      <c r="H3" s="3"/>
    </row>
    <row r="4">
      <c r="A4" s="3"/>
      <c r="B4" s="3"/>
      <c r="C4" s="3"/>
      <c r="D4" s="3"/>
      <c r="E4" s="3"/>
      <c r="F4" s="4"/>
      <c r="G4" s="3"/>
      <c r="H4" s="3"/>
    </row>
    <row r="5">
      <c r="A5" s="6" t="s">
        <v>5</v>
      </c>
      <c r="B5" s="6" t="s">
        <v>6</v>
      </c>
      <c r="C5" s="6" t="s">
        <v>7</v>
      </c>
      <c r="D5" s="7" t="s">
        <v>8</v>
      </c>
      <c r="E5" s="7" t="s">
        <v>9</v>
      </c>
      <c r="F5" s="8" t="s">
        <v>10</v>
      </c>
      <c r="G5" s="9" t="s">
        <v>11</v>
      </c>
      <c r="H5" s="9"/>
    </row>
    <row r="6">
      <c r="A6" s="10" t="s">
        <v>12</v>
      </c>
      <c r="B6" s="11"/>
      <c r="C6" s="11"/>
      <c r="D6" s="11"/>
      <c r="E6" s="11"/>
      <c r="F6" s="12"/>
      <c r="G6" s="9"/>
      <c r="H6" s="9"/>
    </row>
    <row r="7">
      <c r="A7" s="3" t="s">
        <v>13</v>
      </c>
      <c r="B7" s="3" t="s">
        <v>14</v>
      </c>
      <c r="C7" s="3" t="s">
        <v>15</v>
      </c>
      <c r="D7" s="13">
        <v>1.0</v>
      </c>
      <c r="E7" s="3">
        <v>0.5</v>
      </c>
      <c r="F7" s="14" t="s">
        <v>16</v>
      </c>
      <c r="G7" s="15">
        <f t="shared" ref="G7:G12" si="1">MINUS(D7,E7)</f>
        <v>0.5</v>
      </c>
      <c r="H7" s="3"/>
    </row>
    <row r="8">
      <c r="A8" s="16" t="s">
        <v>17</v>
      </c>
      <c r="B8" s="3" t="s">
        <v>18</v>
      </c>
      <c r="C8" s="3" t="s">
        <v>19</v>
      </c>
      <c r="D8" s="13">
        <v>5.0</v>
      </c>
      <c r="E8" s="3">
        <v>4.0</v>
      </c>
      <c r="F8" s="14" t="s">
        <v>16</v>
      </c>
      <c r="G8" s="15">
        <f t="shared" si="1"/>
        <v>1</v>
      </c>
      <c r="H8" s="3"/>
    </row>
    <row r="9">
      <c r="A9" s="16" t="s">
        <v>20</v>
      </c>
      <c r="B9" s="3" t="s">
        <v>14</v>
      </c>
      <c r="C9" s="3" t="s">
        <v>21</v>
      </c>
      <c r="D9" s="13">
        <v>3.0</v>
      </c>
      <c r="E9" s="3">
        <v>5.0</v>
      </c>
      <c r="F9" s="14" t="s">
        <v>16</v>
      </c>
      <c r="G9" s="15">
        <f t="shared" si="1"/>
        <v>-2</v>
      </c>
      <c r="H9" s="3"/>
    </row>
    <row r="10">
      <c r="A10" s="3" t="s">
        <v>22</v>
      </c>
      <c r="B10" s="3" t="s">
        <v>18</v>
      </c>
      <c r="C10" s="3" t="s">
        <v>19</v>
      </c>
      <c r="D10" s="13">
        <v>5.0</v>
      </c>
      <c r="E10" s="3">
        <v>4.0</v>
      </c>
      <c r="F10" s="14" t="s">
        <v>16</v>
      </c>
      <c r="G10" s="15">
        <f t="shared" si="1"/>
        <v>1</v>
      </c>
      <c r="H10" s="3"/>
    </row>
    <row r="11">
      <c r="A11" s="3" t="s">
        <v>23</v>
      </c>
      <c r="B11" s="3" t="s">
        <v>24</v>
      </c>
      <c r="C11" s="3" t="s">
        <v>15</v>
      </c>
      <c r="D11" s="13">
        <v>1.0</v>
      </c>
      <c r="E11" s="3">
        <v>1.0</v>
      </c>
      <c r="F11" s="14" t="s">
        <v>16</v>
      </c>
      <c r="G11" s="15">
        <f t="shared" si="1"/>
        <v>0</v>
      </c>
      <c r="H11" s="3"/>
    </row>
    <row r="12">
      <c r="A12" s="3" t="s">
        <v>25</v>
      </c>
      <c r="B12" s="3" t="s">
        <v>24</v>
      </c>
      <c r="C12" s="3" t="s">
        <v>26</v>
      </c>
      <c r="D12" s="13">
        <v>1.0</v>
      </c>
      <c r="E12" s="3">
        <v>0.5</v>
      </c>
      <c r="F12" s="14" t="s">
        <v>16</v>
      </c>
      <c r="G12" s="15">
        <f t="shared" si="1"/>
        <v>0.5</v>
      </c>
      <c r="H12" s="3"/>
    </row>
    <row r="13">
      <c r="A13" s="10" t="s">
        <v>27</v>
      </c>
      <c r="B13" s="11"/>
      <c r="C13" s="11"/>
      <c r="D13" s="11"/>
      <c r="E13" s="11"/>
      <c r="F13" s="12"/>
      <c r="G13" s="11"/>
      <c r="H13" s="11"/>
    </row>
    <row r="14">
      <c r="A14" s="3" t="s">
        <v>28</v>
      </c>
      <c r="B14" s="3" t="s">
        <v>24</v>
      </c>
      <c r="C14" s="3" t="s">
        <v>21</v>
      </c>
      <c r="D14" s="13">
        <v>3.0</v>
      </c>
      <c r="E14" s="3">
        <v>3.5</v>
      </c>
      <c r="F14" s="14" t="s">
        <v>16</v>
      </c>
      <c r="G14" s="15">
        <f t="shared" ref="G14:G19" si="2">MINUS(D14,E14)</f>
        <v>-0.5</v>
      </c>
      <c r="H14" s="3"/>
    </row>
    <row r="15">
      <c r="A15" s="3" t="s">
        <v>29</v>
      </c>
      <c r="B15" s="3" t="s">
        <v>24</v>
      </c>
      <c r="C15" s="3" t="s">
        <v>30</v>
      </c>
      <c r="D15" s="13">
        <v>4.0</v>
      </c>
      <c r="E15" s="3">
        <v>4.5</v>
      </c>
      <c r="F15" s="14" t="s">
        <v>16</v>
      </c>
      <c r="G15" s="15">
        <f t="shared" si="2"/>
        <v>-0.5</v>
      </c>
      <c r="H15" s="3"/>
    </row>
    <row r="16">
      <c r="A16" s="16" t="s">
        <v>31</v>
      </c>
      <c r="B16" s="3" t="s">
        <v>24</v>
      </c>
      <c r="C16" s="3" t="s">
        <v>19</v>
      </c>
      <c r="D16" s="13">
        <v>3.0</v>
      </c>
      <c r="E16" s="13">
        <v>2.5</v>
      </c>
      <c r="F16" s="14" t="s">
        <v>16</v>
      </c>
      <c r="G16" s="15">
        <f t="shared" si="2"/>
        <v>0.5</v>
      </c>
      <c r="H16" s="3"/>
    </row>
    <row r="17">
      <c r="A17" s="3" t="s">
        <v>22</v>
      </c>
      <c r="B17" s="3" t="s">
        <v>18</v>
      </c>
      <c r="C17" s="3" t="s">
        <v>19</v>
      </c>
      <c r="D17" s="13">
        <v>5.0</v>
      </c>
      <c r="E17" s="3">
        <v>7.0</v>
      </c>
      <c r="F17" s="14" t="s">
        <v>16</v>
      </c>
      <c r="G17" s="15">
        <f t="shared" si="2"/>
        <v>-2</v>
      </c>
      <c r="H17" s="3"/>
    </row>
    <row r="18">
      <c r="A18" s="3" t="s">
        <v>23</v>
      </c>
      <c r="B18" s="3" t="s">
        <v>24</v>
      </c>
      <c r="C18" s="3" t="s">
        <v>15</v>
      </c>
      <c r="D18" s="13">
        <v>1.0</v>
      </c>
      <c r="E18" s="3">
        <v>1.0</v>
      </c>
      <c r="F18" s="17" t="s">
        <v>16</v>
      </c>
      <c r="G18" s="15">
        <f t="shared" si="2"/>
        <v>0</v>
      </c>
      <c r="H18" s="3"/>
    </row>
    <row r="19">
      <c r="A19" s="3" t="s">
        <v>25</v>
      </c>
      <c r="B19" s="3" t="s">
        <v>24</v>
      </c>
      <c r="C19" s="3" t="s">
        <v>26</v>
      </c>
      <c r="D19" s="13">
        <v>1.0</v>
      </c>
      <c r="E19" s="3">
        <v>0.5</v>
      </c>
      <c r="F19" s="14" t="s">
        <v>16</v>
      </c>
      <c r="G19" s="15">
        <f t="shared" si="2"/>
        <v>0.5</v>
      </c>
      <c r="H19" s="3"/>
    </row>
    <row r="20">
      <c r="A20" s="10" t="s">
        <v>32</v>
      </c>
      <c r="B20" s="11"/>
      <c r="C20" s="11"/>
      <c r="D20" s="11"/>
      <c r="E20" s="11"/>
      <c r="F20" s="12"/>
      <c r="G20" s="11"/>
      <c r="H20" s="11"/>
    </row>
    <row r="21">
      <c r="A21" s="3" t="s">
        <v>23</v>
      </c>
      <c r="B21" s="3" t="s">
        <v>24</v>
      </c>
      <c r="C21" s="3" t="s">
        <v>15</v>
      </c>
      <c r="D21" s="13">
        <v>1.0</v>
      </c>
      <c r="E21" s="3"/>
      <c r="F21" s="17" t="s">
        <v>16</v>
      </c>
      <c r="G21" s="15">
        <f t="shared" ref="G21:G25" si="3">MINUS(D21,E21)</f>
        <v>1</v>
      </c>
      <c r="H21" s="3"/>
    </row>
    <row r="22">
      <c r="A22" s="3" t="s">
        <v>33</v>
      </c>
      <c r="B22" s="3" t="s">
        <v>14</v>
      </c>
      <c r="C22" s="3" t="s">
        <v>15</v>
      </c>
      <c r="D22" s="15">
        <v>1.0</v>
      </c>
      <c r="E22" s="3"/>
      <c r="F22" s="18" t="s">
        <v>16</v>
      </c>
      <c r="G22" s="15">
        <f t="shared" si="3"/>
        <v>1</v>
      </c>
      <c r="H22" s="3"/>
    </row>
    <row r="23">
      <c r="A23" s="3" t="s">
        <v>34</v>
      </c>
      <c r="B23" s="3" t="s">
        <v>14</v>
      </c>
      <c r="C23" s="3" t="s">
        <v>15</v>
      </c>
      <c r="D23" s="3">
        <v>2.0</v>
      </c>
      <c r="E23" s="3"/>
      <c r="F23" s="18" t="s">
        <v>16</v>
      </c>
      <c r="G23" s="15">
        <f t="shared" si="3"/>
        <v>2</v>
      </c>
      <c r="H23" s="3"/>
    </row>
    <row r="24">
      <c r="A24" s="3" t="s">
        <v>22</v>
      </c>
      <c r="B24" s="3" t="s">
        <v>18</v>
      </c>
      <c r="C24" s="3" t="s">
        <v>19</v>
      </c>
      <c r="D24" s="13">
        <v>7.5</v>
      </c>
      <c r="E24" s="3">
        <v>7.5</v>
      </c>
      <c r="F24" s="14" t="s">
        <v>16</v>
      </c>
      <c r="G24" s="15">
        <f t="shared" si="3"/>
        <v>0</v>
      </c>
      <c r="H24" s="3"/>
    </row>
    <row r="25">
      <c r="A25" s="3" t="s">
        <v>35</v>
      </c>
      <c r="B25" s="3" t="s">
        <v>24</v>
      </c>
      <c r="C25" s="3" t="s">
        <v>26</v>
      </c>
      <c r="D25" s="19">
        <v>2.0</v>
      </c>
      <c r="E25" s="15">
        <v>0.5</v>
      </c>
      <c r="F25" s="14" t="s">
        <v>16</v>
      </c>
      <c r="G25" s="15">
        <f t="shared" si="3"/>
        <v>1.5</v>
      </c>
      <c r="H25" s="3"/>
    </row>
    <row r="26">
      <c r="A26" s="10" t="s">
        <v>36</v>
      </c>
      <c r="B26" s="11"/>
      <c r="C26" s="11"/>
      <c r="D26" s="11"/>
      <c r="E26" s="11"/>
      <c r="F26" s="12"/>
      <c r="G26" s="11"/>
      <c r="H26" s="11"/>
    </row>
    <row r="27">
      <c r="A27" s="3" t="s">
        <v>37</v>
      </c>
      <c r="B27" s="3" t="s">
        <v>14</v>
      </c>
      <c r="C27" s="13" t="s">
        <v>19</v>
      </c>
      <c r="D27" s="19">
        <v>2.0</v>
      </c>
      <c r="E27" s="19">
        <v>3.0</v>
      </c>
      <c r="F27" s="17" t="s">
        <v>16</v>
      </c>
      <c r="G27" s="15">
        <f>MINUS(D27,E27)</f>
        <v>-1</v>
      </c>
      <c r="H27" s="3"/>
    </row>
    <row r="28">
      <c r="A28" s="13" t="s">
        <v>38</v>
      </c>
      <c r="B28" s="3" t="s">
        <v>14</v>
      </c>
      <c r="C28" s="13" t="s">
        <v>21</v>
      </c>
      <c r="D28" s="19">
        <v>3.0</v>
      </c>
      <c r="E28" s="19">
        <v>3.5</v>
      </c>
      <c r="F28" s="17" t="s">
        <v>16</v>
      </c>
      <c r="G28" s="15">
        <v>-0.5</v>
      </c>
      <c r="H28" s="3"/>
    </row>
    <row r="29">
      <c r="A29" s="13" t="s">
        <v>39</v>
      </c>
      <c r="B29" s="3" t="s">
        <v>14</v>
      </c>
      <c r="C29" s="13" t="s">
        <v>21</v>
      </c>
      <c r="D29" s="19">
        <v>2.5</v>
      </c>
      <c r="E29" s="3"/>
      <c r="F29" s="20" t="s">
        <v>40</v>
      </c>
      <c r="G29" s="3"/>
      <c r="H29" s="3"/>
    </row>
    <row r="30">
      <c r="A30" s="13" t="s">
        <v>41</v>
      </c>
      <c r="B30" s="3" t="s">
        <v>14</v>
      </c>
      <c r="C30" s="13" t="s">
        <v>19</v>
      </c>
      <c r="D30" s="19">
        <v>3.0</v>
      </c>
      <c r="E30" s="19">
        <v>2.5</v>
      </c>
      <c r="F30" s="17" t="s">
        <v>16</v>
      </c>
      <c r="G30" s="15">
        <f>MINUS(D30,E30)</f>
        <v>0.5</v>
      </c>
      <c r="H30" s="3"/>
    </row>
    <row r="31">
      <c r="A31" s="13" t="s">
        <v>42</v>
      </c>
      <c r="B31" s="3" t="s">
        <v>14</v>
      </c>
      <c r="C31" s="13" t="s">
        <v>30</v>
      </c>
      <c r="D31" s="19">
        <v>2.0</v>
      </c>
      <c r="E31" s="19">
        <v>1.5</v>
      </c>
      <c r="F31" s="17" t="s">
        <v>16</v>
      </c>
      <c r="G31" s="15">
        <v>0.5</v>
      </c>
      <c r="H31" s="3"/>
    </row>
    <row r="32">
      <c r="A32" s="13" t="s">
        <v>43</v>
      </c>
      <c r="B32" s="3" t="s">
        <v>14</v>
      </c>
      <c r="C32" s="13" t="s">
        <v>26</v>
      </c>
      <c r="D32" s="19">
        <v>2.0</v>
      </c>
      <c r="E32" s="3"/>
      <c r="F32" s="21" t="s">
        <v>16</v>
      </c>
      <c r="G32" s="3"/>
      <c r="H32" s="3"/>
    </row>
    <row r="33">
      <c r="A33" s="3" t="s">
        <v>35</v>
      </c>
      <c r="B33" s="3" t="s">
        <v>24</v>
      </c>
      <c r="C33" s="3" t="s">
        <v>26</v>
      </c>
      <c r="D33" s="19">
        <v>2.0</v>
      </c>
      <c r="E33" s="15">
        <v>0.5</v>
      </c>
      <c r="F33" s="14" t="s">
        <v>16</v>
      </c>
      <c r="G33" s="15">
        <f>MINUS(D33,E33)</f>
        <v>1.5</v>
      </c>
      <c r="H33" s="3"/>
    </row>
    <row r="34">
      <c r="A34" s="22" t="s">
        <v>44</v>
      </c>
      <c r="B34" s="11"/>
      <c r="C34" s="11"/>
      <c r="D34" s="11"/>
      <c r="E34" s="11"/>
      <c r="F34" s="12"/>
      <c r="G34" s="11"/>
      <c r="H34" s="11"/>
    </row>
    <row r="35">
      <c r="A35" s="23" t="s">
        <v>23</v>
      </c>
      <c r="B35" s="23" t="s">
        <v>24</v>
      </c>
      <c r="C35" s="24" t="s">
        <v>15</v>
      </c>
      <c r="D35" s="25">
        <v>1.0</v>
      </c>
      <c r="E35" s="25">
        <v>1.0</v>
      </c>
      <c r="F35" s="17" t="s">
        <v>16</v>
      </c>
      <c r="G35" s="15">
        <f>MINUS(D35,E35)</f>
        <v>0</v>
      </c>
    </row>
    <row r="36">
      <c r="A36" s="24" t="s">
        <v>45</v>
      </c>
      <c r="B36" s="23" t="s">
        <v>46</v>
      </c>
      <c r="C36" s="24" t="s">
        <v>15</v>
      </c>
      <c r="D36" s="19">
        <v>3.0</v>
      </c>
      <c r="E36" s="19"/>
      <c r="F36" s="26" t="s">
        <v>40</v>
      </c>
      <c r="G36" s="15"/>
    </row>
    <row r="37">
      <c r="A37" s="24" t="s">
        <v>47</v>
      </c>
      <c r="B37" s="23" t="s">
        <v>46</v>
      </c>
      <c r="C37" s="24" t="s">
        <v>48</v>
      </c>
      <c r="D37" s="25">
        <v>9.0</v>
      </c>
      <c r="E37" s="3"/>
      <c r="F37" s="20" t="s">
        <v>40</v>
      </c>
      <c r="G37" s="15"/>
    </row>
    <row r="38">
      <c r="A38" s="24" t="s">
        <v>49</v>
      </c>
      <c r="B38" s="23" t="s">
        <v>46</v>
      </c>
      <c r="C38" s="13" t="s">
        <v>19</v>
      </c>
      <c r="D38" s="19">
        <v>3.0</v>
      </c>
      <c r="E38" s="19">
        <v>2.5</v>
      </c>
      <c r="F38" s="17" t="s">
        <v>16</v>
      </c>
      <c r="G38" s="15">
        <f t="shared" ref="G38:G39" si="4">MINUS(D38,E38)</f>
        <v>0.5</v>
      </c>
    </row>
    <row r="39">
      <c r="A39" s="3" t="s">
        <v>35</v>
      </c>
      <c r="B39" s="3" t="s">
        <v>24</v>
      </c>
      <c r="C39" s="3" t="s">
        <v>26</v>
      </c>
      <c r="D39" s="25">
        <v>1.0</v>
      </c>
      <c r="E39" s="27">
        <v>1.0</v>
      </c>
      <c r="F39" s="14" t="s">
        <v>16</v>
      </c>
      <c r="G39" s="15">
        <f t="shared" si="4"/>
        <v>0</v>
      </c>
    </row>
  </sheetData>
  <dataValidations>
    <dataValidation type="list" allowBlank="1" showInputMessage="1" showErrorMessage="1" prompt=" - " sqref="F5:F39">
      <formula1>"Planned,Ongoing,Delayed,Done"</formula1>
    </dataValidation>
    <dataValidation type="list" allowBlank="1" showInputMessage="1" showErrorMessage="1" prompt=" - " sqref="B5:B39">
      <formula1>"Requirements,Design,Development,Testing,Preparation,Coordination,Documentation,Interfaces,Delivery"</formula1>
    </dataValidation>
  </dataValidations>
  <drawing r:id="rId1"/>
</worksheet>
</file>
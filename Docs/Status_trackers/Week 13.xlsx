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" sheetId="1" r:id="rId4"/>
  </sheets>
  <definedNames/>
  <calcPr/>
</workbook>
</file>

<file path=xl/sharedStrings.xml><?xml version="1.0" encoding="utf-8"?>
<sst xmlns="http://schemas.openxmlformats.org/spreadsheetml/2006/main" count="409" uniqueCount="112">
  <si>
    <t>TEAM NUMBER</t>
  </si>
  <si>
    <t>Note that all time values are rounded off to the nearest 30 minutes (half an hour)</t>
  </si>
  <si>
    <t>PROJECT NAME</t>
  </si>
  <si>
    <t>Fleet Management</t>
  </si>
  <si>
    <t>CLIENT</t>
  </si>
  <si>
    <t>Akhil</t>
  </si>
  <si>
    <t>TEAM MEMBERS</t>
  </si>
  <si>
    <t>Akshitha</t>
  </si>
  <si>
    <t>Aryanil</t>
  </si>
  <si>
    <t>Aviral</t>
  </si>
  <si>
    <t>Satvik</t>
  </si>
  <si>
    <t>Sherley</t>
  </si>
  <si>
    <t>Activity Name</t>
  </si>
  <si>
    <t>Type</t>
  </si>
  <si>
    <t>Responsible</t>
  </si>
  <si>
    <t>Estimated Team Hours</t>
  </si>
  <si>
    <t>Actual Hours</t>
  </si>
  <si>
    <t>Status</t>
  </si>
  <si>
    <t>Time Calculation Error</t>
  </si>
  <si>
    <t>Week 1 (January 16 - January 21)</t>
  </si>
  <si>
    <t>GIT Repository setup</t>
  </si>
  <si>
    <t>Preparation</t>
  </si>
  <si>
    <t>Done</t>
  </si>
  <si>
    <t>Client meeting</t>
  </si>
  <si>
    <t>Coordination</t>
  </si>
  <si>
    <t>Research existing technology</t>
  </si>
  <si>
    <t>Team Meeting</t>
  </si>
  <si>
    <t>Team MoM Writeup</t>
  </si>
  <si>
    <t>Documentation</t>
  </si>
  <si>
    <t>Status tracker</t>
  </si>
  <si>
    <t>Week 2 (January 22 - January  28)</t>
  </si>
  <si>
    <t>Project Synopsis Writeup</t>
  </si>
  <si>
    <t>Project Plan Document</t>
  </si>
  <si>
    <t>Software Requirement Specification</t>
  </si>
  <si>
    <t>Week 3 (January 29 - February 4)</t>
  </si>
  <si>
    <t>Research TSP Algorithm for Routing</t>
  </si>
  <si>
    <t>VROOM</t>
  </si>
  <si>
    <t>Update Status Tracker</t>
  </si>
  <si>
    <t>Week 4 (February 5 - February 11)</t>
  </si>
  <si>
    <t>Reasearch Grasshopper Optimisation Technique</t>
  </si>
  <si>
    <t>Research on Data Acquisition</t>
  </si>
  <si>
    <t>Data Importing Techniques</t>
  </si>
  <si>
    <t>Research Heuristics Algorithms</t>
  </si>
  <si>
    <t>Research on Geocoding</t>
  </si>
  <si>
    <t>Research on TSP (Contd.)</t>
  </si>
  <si>
    <t>Research on PgRouting</t>
  </si>
  <si>
    <t>Week 5 (February 12 - February 18)</t>
  </si>
  <si>
    <t>Update SRS to match format</t>
  </si>
  <si>
    <t>UML Diagrams for SRS Document</t>
  </si>
  <si>
    <t>Research on TSP</t>
  </si>
  <si>
    <t>Initialise Codebase</t>
  </si>
  <si>
    <t>Development</t>
  </si>
  <si>
    <t>Geocoding</t>
  </si>
  <si>
    <t>Week 6 (February 19 - February 25)</t>
  </si>
  <si>
    <t>Boiler Plate for VROOM implementation</t>
  </si>
  <si>
    <t>Discarded</t>
  </si>
  <si>
    <t>Week 7 (February 26 - March 4)</t>
  </si>
  <si>
    <t>Midsem break</t>
  </si>
  <si>
    <t>Week 8 (March 5 - March 11)</t>
  </si>
  <si>
    <t xml:space="preserve"> VROOM implementation (Continuation)</t>
  </si>
  <si>
    <t xml:space="preserve">Team Meet (Discuss Implementation Phase) </t>
  </si>
  <si>
    <t xml:space="preserve">Client Meet (Discuss OSRM Data Storage) </t>
  </si>
  <si>
    <t>Client meeting MoM Writeup</t>
  </si>
  <si>
    <t>Code Function Blocks Implementation</t>
  </si>
  <si>
    <t>Akshita</t>
  </si>
  <si>
    <t>Week 9 (March 12 - March 18)</t>
  </si>
  <si>
    <t>Client Meet</t>
  </si>
  <si>
    <t>Google APIs Market Research</t>
  </si>
  <si>
    <t>Client Meet MoM</t>
  </si>
  <si>
    <t>Design Document (Class Diagrams)</t>
  </si>
  <si>
    <t>Design Document (Sequence Diagrams)</t>
  </si>
  <si>
    <t>Design Document (Design Rational)</t>
  </si>
  <si>
    <t>Implement Website Home, About, Timeline, Demos Page</t>
  </si>
  <si>
    <t>Interfaces</t>
  </si>
  <si>
    <t>Implement Website Navbar</t>
  </si>
  <si>
    <t>Implement Website Teams Page</t>
  </si>
  <si>
    <t>Implement Website Geocode and Route pages</t>
  </si>
  <si>
    <t>Route optimization(Many-to-one)</t>
  </si>
  <si>
    <t>Updated Project Synopsis Document</t>
  </si>
  <si>
    <t>Updated SRS for Google API</t>
  </si>
  <si>
    <t xml:space="preserve">Updated Project Plan Document </t>
  </si>
  <si>
    <t>Implementation of autocomplete feature in search functionalities</t>
  </si>
  <si>
    <t xml:space="preserve">Sherley </t>
  </si>
  <si>
    <t>R1 Presentaion Deck</t>
  </si>
  <si>
    <t>Database setup</t>
  </si>
  <si>
    <t>Login Page</t>
  </si>
  <si>
    <t>Route optimization(Many-to-many)</t>
  </si>
  <si>
    <t>Redesigned Project Class Diagram and Sequence Diagrams</t>
  </si>
  <si>
    <t>Design</t>
  </si>
  <si>
    <t>Added Readme for The repo</t>
  </si>
  <si>
    <t>Week 10 (March 19 - March 25)</t>
  </si>
  <si>
    <t>VROOM Setup with Online OSRM server</t>
  </si>
  <si>
    <t>Week 11 (March 26 - April 1)</t>
  </si>
  <si>
    <t>User Specific Features</t>
  </si>
  <si>
    <t>Team Meet</t>
  </si>
  <si>
    <t>Team Meet MoM</t>
  </si>
  <si>
    <t>Improving route optimisation</t>
  </si>
  <si>
    <t>Week 12 (April 2 - April 8)</t>
  </si>
  <si>
    <t>Quiz 2 break</t>
  </si>
  <si>
    <t>Schema Diagram</t>
  </si>
  <si>
    <t>Test Tracker (until R1)</t>
  </si>
  <si>
    <t>Test Tracker (beyond R1)</t>
  </si>
  <si>
    <t>Week 13 (April 9 - April 15)</t>
  </si>
  <si>
    <t>Profile Page UI</t>
  </si>
  <si>
    <t>Design Database Schema</t>
  </si>
  <si>
    <t>Optimal and Custom Fleet Control</t>
  </si>
  <si>
    <t>Vehicle Capacity Constraints, Time Schedule Planning</t>
  </si>
  <si>
    <t>Routing backend integration</t>
  </si>
  <si>
    <t>Ongoing</t>
  </si>
  <si>
    <t>Implementing database schema</t>
  </si>
  <si>
    <t>Implementing Admin and users UI</t>
  </si>
  <si>
    <t>Integrating backend of admin and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</si>
</sst>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sz val="10.0"/>
      <color rgb="FF181A1B"/>
      <name val="Arial"/>
    </font>
    <font>
      <color rgb="FF181A1B"/>
      <name val="Arial"/>
    </font>
    <font>
      <color rgb="FF181A1B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DD0806"/>
        <bgColor rgb="FFDD0806"/>
      </patternFill>
    </fill>
    <fill>
      <patternFill patternType="solid">
        <fgColor rgb="FF006411"/>
        <bgColor rgb="FF006411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/>
    </xf>
    <xf borderId="0" fillId="0" fontId="3" numFmtId="49" xfId="0" applyAlignment="1" applyFont="1" applyNumberFormat="1">
      <alignment horizontal="left" shrinkToFit="0" vertical="bottom" wrapText="0"/>
    </xf>
    <xf borderId="0" fillId="0" fontId="6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7" numFmtId="0" xfId="0" applyFont="1"/>
    <xf borderId="0" fillId="2" fontId="4" numFmtId="0" xfId="0" applyAlignment="1" applyFill="1" applyFont="1">
      <alignment horizontal="left" shrinkToFit="0" vertical="center" wrapText="0"/>
    </xf>
    <xf borderId="0" fillId="2" fontId="4" numFmtId="49" xfId="0" applyAlignment="1" applyFont="1" applyNumberFormat="1">
      <alignment horizontal="left" shrinkToFit="0" vertical="center" wrapText="1"/>
    </xf>
    <xf borderId="0" fillId="2" fontId="4" numFmtId="49" xfId="0" applyAlignment="1" applyFont="1" applyNumberFormat="1">
      <alignment horizontal="left" shrinkToFit="0" vertical="center" wrapText="0"/>
    </xf>
    <xf borderId="0" fillId="3" fontId="6" numFmtId="0" xfId="0" applyAlignment="1" applyFill="1" applyFont="1">
      <alignment readingOrder="0"/>
    </xf>
    <xf borderId="0" fillId="0" fontId="3" numFmtId="0" xfId="0" applyAlignment="1" applyFont="1">
      <alignment horizontal="left" shrinkToFit="0" vertical="center" wrapText="0"/>
    </xf>
    <xf borderId="0" fillId="2" fontId="4" numFmtId="0" xfId="0" applyAlignment="1" applyFont="1">
      <alignment horizontal="left" readingOrder="0" shrinkToFit="0" vertical="bottom" wrapText="0"/>
    </xf>
    <xf borderId="0" fillId="2" fontId="3" numFmtId="0" xfId="0" applyAlignment="1" applyFont="1">
      <alignment horizontal="left" shrinkToFit="0" vertical="bottom" wrapText="0"/>
    </xf>
    <xf borderId="0" fillId="2" fontId="4" numFmtId="0" xfId="0" applyAlignment="1" applyFont="1">
      <alignment horizontal="left" shrinkToFit="0" vertical="bottom" wrapText="0"/>
    </xf>
    <xf borderId="0" fillId="2" fontId="3" numFmtId="49" xfId="0" applyAlignment="1" applyFont="1" applyNumberFormat="1">
      <alignment horizontal="left" shrinkToFit="0" vertical="bottom" wrapText="0"/>
    </xf>
    <xf borderId="0" fillId="3" fontId="6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shrinkToFit="0" vertical="bottom" wrapText="1"/>
    </xf>
    <xf borderId="0" fillId="2" fontId="6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 readingOrder="0" vertical="bottom"/>
    </xf>
    <xf borderId="0" fillId="4" fontId="9" numFmtId="49" xfId="0" applyAlignment="1" applyFill="1" applyFont="1" applyNumberForma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5" fontId="9" numFmtId="49" xfId="0" applyAlignment="1" applyFill="1" applyFont="1" applyNumberForma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5" fontId="6" numFmtId="49" xfId="0" applyAlignment="1" applyFont="1" applyNumberFormat="1">
      <alignment readingOrder="0" vertical="bottom"/>
    </xf>
    <xf borderId="0" fillId="5" fontId="3" numFmtId="49" xfId="0" applyAlignment="1" applyFont="1" applyNumberFormat="1">
      <alignment horizontal="left" readingOrder="0" shrinkToFit="0" vertical="bottom" wrapText="0"/>
    </xf>
    <xf borderId="0" fillId="4" fontId="6" numFmtId="49" xfId="0" applyAlignment="1" applyFont="1" applyNumberFormat="1">
      <alignment vertical="bottom"/>
    </xf>
    <xf borderId="0" fillId="0" fontId="9" numFmtId="0" xfId="0" applyAlignment="1" applyFont="1">
      <alignment readingOrder="0" vertical="bottom"/>
    </xf>
    <xf borderId="0" fillId="5" fontId="9" numFmtId="49" xfId="0" applyAlignment="1" applyFont="1" applyNumberFormat="1">
      <alignment readingOrder="0" vertical="bottom"/>
    </xf>
    <xf borderId="0" fillId="0" fontId="10" numFmtId="0" xfId="0" applyAlignment="1" applyFont="1">
      <alignment horizontal="left" readingOrder="0"/>
    </xf>
    <xf borderId="0" fillId="0" fontId="8" numFmtId="49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horizontal="left" readingOrder="0"/>
    </xf>
    <xf borderId="0" fillId="6" fontId="3" numFmtId="49" xfId="0" applyAlignment="1" applyFill="1" applyFont="1" applyNumberFormat="1">
      <alignment horizontal="left" readingOrder="0"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DD0806"/>
          <bgColor rgb="FFDD0806"/>
        </patternFill>
      </fill>
      <border/>
    </dxf>
    <dxf>
      <font/>
      <fill>
        <patternFill patternType="solid">
          <fgColor rgb="FF006411"/>
          <bgColor rgb="FF006411"/>
        </patternFill>
      </fill>
      <border/>
    </dxf>
    <dxf>
      <font/>
      <fill>
        <patternFill patternType="solid">
          <fgColor rgb="FFFCF305"/>
          <bgColor rgb="FFFCF30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 outlineLevelRow="1"/>
  <cols>
    <col customWidth="1" min="1" max="1" width="34.38"/>
    <col customWidth="1" min="2" max="2" width="28.75"/>
    <col customWidth="1" min="3" max="3" width="13.38"/>
    <col customWidth="1" min="4" max="4" width="11.0"/>
    <col customWidth="1" min="5" max="5" width="11.38"/>
    <col customWidth="1" min="6" max="6" width="12.38"/>
    <col customWidth="1" min="7" max="7" width="17.38"/>
    <col customWidth="1" min="8" max="24" width="10.0"/>
  </cols>
  <sheetData>
    <row r="1" ht="19.5" customHeight="1">
      <c r="A1" s="1" t="s">
        <v>0</v>
      </c>
      <c r="B1" s="2">
        <v>28.0</v>
      </c>
      <c r="C1" s="3"/>
      <c r="D1" s="3"/>
      <c r="E1" s="4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7.25" customHeight="1">
      <c r="A2" s="1" t="s">
        <v>2</v>
      </c>
      <c r="B2" s="2" t="s">
        <v>3</v>
      </c>
      <c r="C2" s="3"/>
      <c r="D2" s="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1" t="s">
        <v>4</v>
      </c>
      <c r="B3" s="2" t="s">
        <v>5</v>
      </c>
      <c r="C3" s="3"/>
      <c r="D3" s="3"/>
      <c r="E3" s="3"/>
      <c r="F3" s="6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1"/>
      <c r="B4" s="2"/>
      <c r="C4" s="3"/>
      <c r="D4" s="3"/>
      <c r="E4" s="3"/>
      <c r="F4" s="6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2.75" customHeight="1">
      <c r="A5" s="8" t="s">
        <v>6</v>
      </c>
      <c r="B5" s="9" t="s">
        <v>7</v>
      </c>
      <c r="C5" s="3"/>
      <c r="D5" s="3"/>
      <c r="E5" s="3"/>
      <c r="F5" s="6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2.75" customHeight="1">
      <c r="A6" s="10"/>
      <c r="B6" s="9" t="s">
        <v>8</v>
      </c>
      <c r="C6" s="3"/>
      <c r="D6" s="3"/>
      <c r="E6" s="3"/>
      <c r="F6" s="6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2.75" customHeight="1">
      <c r="A7" s="10"/>
      <c r="B7" s="9" t="s">
        <v>9</v>
      </c>
      <c r="C7" s="3"/>
      <c r="D7" s="3"/>
      <c r="E7" s="3"/>
      <c r="F7" s="6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2.75" customHeight="1">
      <c r="A8" s="10"/>
      <c r="B8" s="9" t="s">
        <v>10</v>
      </c>
      <c r="C8" s="3"/>
      <c r="D8" s="3"/>
      <c r="E8" s="3"/>
      <c r="F8" s="6"/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2.75" customHeight="1">
      <c r="A9" s="10"/>
      <c r="B9" s="9" t="s">
        <v>11</v>
      </c>
      <c r="C9" s="3"/>
      <c r="D9" s="3"/>
      <c r="E9" s="3"/>
      <c r="F9" s="6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2.75" customHeight="1">
      <c r="A10" s="5"/>
      <c r="B10" s="5"/>
      <c r="C10" s="3"/>
      <c r="D10" s="3"/>
      <c r="E10" s="3"/>
      <c r="F10" s="6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27.75" customHeight="1">
      <c r="A11" s="11" t="s">
        <v>12</v>
      </c>
      <c r="B11" s="11" t="s">
        <v>13</v>
      </c>
      <c r="C11" s="11" t="s">
        <v>14</v>
      </c>
      <c r="D11" s="12" t="s">
        <v>15</v>
      </c>
      <c r="E11" s="12" t="s">
        <v>16</v>
      </c>
      <c r="F11" s="13" t="s">
        <v>17</v>
      </c>
      <c r="G11" s="14" t="s">
        <v>18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12.75" customHeight="1">
      <c r="A12" s="16" t="s">
        <v>19</v>
      </c>
      <c r="B12" s="17"/>
      <c r="C12" s="17"/>
      <c r="D12" s="18"/>
      <c r="E12" s="18"/>
      <c r="F12" s="19"/>
      <c r="G12" s="2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2.75" customHeight="1" outlineLevel="1">
      <c r="A13" s="3" t="s">
        <v>20</v>
      </c>
      <c r="B13" s="3" t="s">
        <v>21</v>
      </c>
      <c r="C13" s="21" t="s">
        <v>8</v>
      </c>
      <c r="D13" s="22">
        <v>1.0</v>
      </c>
      <c r="E13" s="21">
        <v>0.5</v>
      </c>
      <c r="F13" s="23" t="s">
        <v>22</v>
      </c>
      <c r="G13" s="24">
        <f t="array" ref="G13">MINUS(D13, E13)</f>
        <v>0.5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3.5" customHeight="1" outlineLevel="1">
      <c r="A14" s="25" t="s">
        <v>23</v>
      </c>
      <c r="B14" s="3" t="s">
        <v>24</v>
      </c>
      <c r="C14" s="21" t="s">
        <v>9</v>
      </c>
      <c r="D14" s="22">
        <v>5.0</v>
      </c>
      <c r="E14" s="21">
        <v>4.0</v>
      </c>
      <c r="F14" s="23" t="s">
        <v>22</v>
      </c>
      <c r="G14" s="24">
        <f t="array" ref="G14">MINUS(D14, E14)</f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3.5" customHeight="1" outlineLevel="1">
      <c r="A15" s="25" t="s">
        <v>25</v>
      </c>
      <c r="B15" s="3" t="s">
        <v>21</v>
      </c>
      <c r="C15" s="21" t="s">
        <v>11</v>
      </c>
      <c r="D15" s="22">
        <v>3.0</v>
      </c>
      <c r="E15" s="21">
        <v>5.0</v>
      </c>
      <c r="F15" s="23" t="s">
        <v>22</v>
      </c>
      <c r="G15" s="24">
        <f t="array" ref="G15">MINUS(D15, E15)</f>
        <v>-2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2.75" customHeight="1" outlineLevel="1">
      <c r="A16" s="3" t="s">
        <v>26</v>
      </c>
      <c r="B16" s="3" t="s">
        <v>24</v>
      </c>
      <c r="C16" s="21" t="s">
        <v>9</v>
      </c>
      <c r="D16" s="22">
        <v>5.0</v>
      </c>
      <c r="E16" s="21">
        <v>4.0</v>
      </c>
      <c r="F16" s="6" t="s">
        <v>22</v>
      </c>
      <c r="G16" s="24">
        <f t="array" ref="G16">MINUS(D16, E16)</f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2.75" customHeight="1" outlineLevel="1">
      <c r="A17" s="21" t="s">
        <v>27</v>
      </c>
      <c r="B17" s="21" t="s">
        <v>28</v>
      </c>
      <c r="C17" s="21" t="s">
        <v>8</v>
      </c>
      <c r="D17" s="22">
        <v>1.0</v>
      </c>
      <c r="E17" s="21">
        <v>1.0</v>
      </c>
      <c r="F17" s="23" t="s">
        <v>22</v>
      </c>
      <c r="G17" s="24">
        <f t="array" ref="G17">MINUS(D17, E17)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2.75" customHeight="1" outlineLevel="1">
      <c r="A18" s="3" t="s">
        <v>29</v>
      </c>
      <c r="B18" s="3" t="s">
        <v>28</v>
      </c>
      <c r="C18" s="21" t="s">
        <v>10</v>
      </c>
      <c r="D18" s="22">
        <v>1.0</v>
      </c>
      <c r="E18" s="21">
        <v>0.5</v>
      </c>
      <c r="F18" s="23" t="s">
        <v>22</v>
      </c>
      <c r="G18" s="24">
        <f t="array" ref="G18">MINUS(D18, E18)</f>
        <v>0.5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2.75" customHeight="1">
      <c r="A19" s="18" t="s">
        <v>30</v>
      </c>
      <c r="B19" s="17"/>
      <c r="C19" s="17"/>
      <c r="D19" s="17"/>
      <c r="E19" s="17"/>
      <c r="F19" s="19"/>
      <c r="G19" s="2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2.75" customHeight="1" outlineLevel="1">
      <c r="A20" s="21" t="s">
        <v>31</v>
      </c>
      <c r="B20" s="3" t="s">
        <v>28</v>
      </c>
      <c r="C20" s="21" t="s">
        <v>11</v>
      </c>
      <c r="D20" s="22">
        <v>3.0</v>
      </c>
      <c r="E20" s="21">
        <v>3.5</v>
      </c>
      <c r="F20" s="23" t="s">
        <v>22</v>
      </c>
      <c r="G20" s="24">
        <f t="array" ref="G20">MINUS(D20, E20)</f>
        <v>-0.5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2.75" customHeight="1" outlineLevel="1">
      <c r="A21" s="21" t="s">
        <v>32</v>
      </c>
      <c r="B21" s="21" t="s">
        <v>28</v>
      </c>
      <c r="C21" s="21" t="s">
        <v>7</v>
      </c>
      <c r="D21" s="22">
        <v>4.0</v>
      </c>
      <c r="E21" s="21">
        <v>4.5</v>
      </c>
      <c r="F21" s="23" t="s">
        <v>22</v>
      </c>
      <c r="G21" s="24">
        <f t="array" ref="G21">MINUS(D21, E21)</f>
        <v>-0.5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3.5" customHeight="1" outlineLevel="1">
      <c r="A22" s="27" t="s">
        <v>33</v>
      </c>
      <c r="B22" s="21" t="s">
        <v>28</v>
      </c>
      <c r="C22" s="21" t="s">
        <v>9</v>
      </c>
      <c r="D22" s="22">
        <v>3.0</v>
      </c>
      <c r="E22" s="22">
        <v>2.5</v>
      </c>
      <c r="F22" s="23" t="s">
        <v>22</v>
      </c>
      <c r="G22" s="24">
        <f t="array" ref="G22">MINUS(D22, E22)</f>
        <v>0.5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2.75" customHeight="1" outlineLevel="1">
      <c r="A23" s="3" t="s">
        <v>26</v>
      </c>
      <c r="B23" s="3" t="s">
        <v>24</v>
      </c>
      <c r="C23" s="21" t="s">
        <v>9</v>
      </c>
      <c r="D23" s="22">
        <v>5.0</v>
      </c>
      <c r="E23" s="21">
        <v>7.0</v>
      </c>
      <c r="F23" s="23" t="s">
        <v>22</v>
      </c>
      <c r="G23" s="24">
        <f t="array" ref="G23">MINUS(D23, E23)</f>
        <v>-2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2.75" customHeight="1" outlineLevel="1">
      <c r="A24" s="28" t="s">
        <v>27</v>
      </c>
      <c r="B24" s="28" t="s">
        <v>28</v>
      </c>
      <c r="C24" s="28" t="s">
        <v>8</v>
      </c>
      <c r="D24" s="22">
        <v>1.0</v>
      </c>
      <c r="E24" s="29">
        <v>1.0</v>
      </c>
      <c r="F24" s="30" t="s">
        <v>22</v>
      </c>
      <c r="G24" s="24">
        <f>MINUS(D24,E24)</f>
        <v>0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 ht="12.75" customHeight="1" outlineLevel="1">
      <c r="A25" s="3" t="s">
        <v>29</v>
      </c>
      <c r="B25" s="3" t="s">
        <v>28</v>
      </c>
      <c r="C25" s="21" t="s">
        <v>10</v>
      </c>
      <c r="D25" s="22">
        <v>1.0</v>
      </c>
      <c r="E25" s="21">
        <v>0.5</v>
      </c>
      <c r="F25" s="23" t="s">
        <v>22</v>
      </c>
      <c r="G25" s="24">
        <f t="array" ref="G25">MINUS(D25, E25)</f>
        <v>0.5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2.75" customHeight="1">
      <c r="A26" s="18" t="s">
        <v>34</v>
      </c>
      <c r="B26" s="17"/>
      <c r="C26" s="17"/>
      <c r="D26" s="17"/>
      <c r="E26" s="17"/>
      <c r="F26" s="19"/>
      <c r="G26" s="2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2.75" customHeight="1" outlineLevel="1">
      <c r="A27" s="31" t="s">
        <v>27</v>
      </c>
      <c r="B27" s="31" t="s">
        <v>28</v>
      </c>
      <c r="C27" s="31" t="s">
        <v>8</v>
      </c>
      <c r="D27" s="32">
        <v>1.0</v>
      </c>
      <c r="E27" s="29">
        <v>1.0</v>
      </c>
      <c r="F27" s="33" t="s">
        <v>22</v>
      </c>
      <c r="G27" s="24">
        <f t="array" ref="G27">MINUS(D27, E27)</f>
        <v>0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ht="12.75" customHeight="1" outlineLevel="1">
      <c r="A28" s="35" t="s">
        <v>35</v>
      </c>
      <c r="B28" s="36" t="s">
        <v>21</v>
      </c>
      <c r="C28" s="36" t="s">
        <v>8</v>
      </c>
      <c r="D28" s="28">
        <v>1.0</v>
      </c>
      <c r="E28" s="29">
        <v>1.0</v>
      </c>
      <c r="F28" s="37" t="s">
        <v>22</v>
      </c>
      <c r="G28" s="36">
        <f t="array" ref="G28">MINUS(D28, E28)</f>
        <v>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2.75" customHeight="1" outlineLevel="1">
      <c r="A29" s="21" t="s">
        <v>36</v>
      </c>
      <c r="B29" s="21" t="s">
        <v>21</v>
      </c>
      <c r="C29" s="21" t="s">
        <v>8</v>
      </c>
      <c r="D29" s="21">
        <v>2.0</v>
      </c>
      <c r="E29" s="21">
        <v>2.0</v>
      </c>
      <c r="F29" s="38" t="s">
        <v>22</v>
      </c>
      <c r="G29" s="35">
        <f>MINUS(D50,E50)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2.75" customHeight="1" outlineLevel="1">
      <c r="A30" s="3" t="s">
        <v>26</v>
      </c>
      <c r="B30" s="3" t="s">
        <v>24</v>
      </c>
      <c r="C30" s="21" t="s">
        <v>9</v>
      </c>
      <c r="D30" s="22">
        <v>7.5</v>
      </c>
      <c r="E30" s="21">
        <v>7.5</v>
      </c>
      <c r="F30" s="23" t="s">
        <v>22</v>
      </c>
      <c r="G30" s="24">
        <f>MINUS(D30,E30)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2.75" customHeight="1" outlineLevel="1">
      <c r="A31" s="35" t="s">
        <v>37</v>
      </c>
      <c r="B31" s="35" t="s">
        <v>28</v>
      </c>
      <c r="C31" s="35" t="s">
        <v>10</v>
      </c>
      <c r="D31" s="22">
        <v>2.0</v>
      </c>
      <c r="E31" s="21">
        <v>0.5</v>
      </c>
      <c r="F31" s="39" t="s">
        <v>22</v>
      </c>
      <c r="G31" s="24">
        <f t="array" ref="G31">MINUS(D31, E31)</f>
        <v>1.5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2.75" customHeight="1">
      <c r="A32" s="16" t="s">
        <v>38</v>
      </c>
      <c r="B32" s="17"/>
      <c r="C32" s="17"/>
      <c r="D32" s="17"/>
      <c r="E32" s="17"/>
      <c r="F32" s="19"/>
      <c r="G32" s="2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2.75" customHeight="1" outlineLevel="1">
      <c r="A33" s="35" t="s">
        <v>39</v>
      </c>
      <c r="B33" s="36" t="s">
        <v>21</v>
      </c>
      <c r="C33" s="40" t="s">
        <v>9</v>
      </c>
      <c r="D33" s="22">
        <v>2.0</v>
      </c>
      <c r="E33" s="21">
        <v>3.0</v>
      </c>
      <c r="F33" s="41" t="s">
        <v>22</v>
      </c>
      <c r="G33" s="24">
        <f t="array" ref="G33">MINUS(D33, E33)</f>
        <v>-1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2.75" customHeight="1" outlineLevel="1">
      <c r="A34" s="40" t="s">
        <v>40</v>
      </c>
      <c r="B34" s="35" t="s">
        <v>21</v>
      </c>
      <c r="C34" s="40" t="s">
        <v>11</v>
      </c>
      <c r="D34" s="22">
        <v>3.0</v>
      </c>
      <c r="E34" s="21">
        <v>3.5</v>
      </c>
      <c r="F34" s="41" t="s">
        <v>22</v>
      </c>
      <c r="G34" s="36">
        <f t="array" ref="G34">MINUS(D34, E34)</f>
        <v>-0.5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2.75" customHeight="1" outlineLevel="1">
      <c r="A35" s="40" t="s">
        <v>41</v>
      </c>
      <c r="B35" s="35" t="s">
        <v>21</v>
      </c>
      <c r="C35" s="40" t="s">
        <v>11</v>
      </c>
      <c r="D35" s="22">
        <v>2.5</v>
      </c>
      <c r="E35" s="21"/>
      <c r="F35" s="41" t="s">
        <v>22</v>
      </c>
      <c r="G35" s="24">
        <f t="array" ref="G35">MINUS(D35, E35)</f>
        <v>2.5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2.75" customHeight="1" outlineLevel="1">
      <c r="A36" s="40" t="s">
        <v>42</v>
      </c>
      <c r="B36" s="36" t="s">
        <v>21</v>
      </c>
      <c r="C36" s="40" t="s">
        <v>9</v>
      </c>
      <c r="D36" s="22">
        <v>3.0</v>
      </c>
      <c r="E36" s="21">
        <v>2.5</v>
      </c>
      <c r="F36" s="41" t="s">
        <v>22</v>
      </c>
      <c r="G36" s="24">
        <f t="array" ref="G36">MINUS(D36, E36)</f>
        <v>0.5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2.75" customHeight="1" outlineLevel="1">
      <c r="A37" s="40" t="s">
        <v>43</v>
      </c>
      <c r="B37" s="35" t="s">
        <v>21</v>
      </c>
      <c r="C37" s="40" t="s">
        <v>7</v>
      </c>
      <c r="D37" s="22">
        <v>2.0</v>
      </c>
      <c r="E37" s="21">
        <v>1.5</v>
      </c>
      <c r="F37" s="41" t="s">
        <v>22</v>
      </c>
      <c r="G37" s="36">
        <f t="array" ref="G37">MINUS(D37, E37)</f>
        <v>0.5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12.75" customHeight="1" outlineLevel="1">
      <c r="A38" s="40" t="s">
        <v>44</v>
      </c>
      <c r="B38" s="35" t="s">
        <v>21</v>
      </c>
      <c r="C38" s="40" t="s">
        <v>8</v>
      </c>
      <c r="D38" s="22">
        <v>2.0</v>
      </c>
      <c r="E38" s="21">
        <v>1.0</v>
      </c>
      <c r="F38" s="41" t="s">
        <v>22</v>
      </c>
      <c r="G38" s="36">
        <f t="array" ref="G38">MINUS(D38, E38)</f>
        <v>1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12.75" customHeight="1" outlineLevel="1">
      <c r="A39" s="40" t="s">
        <v>45</v>
      </c>
      <c r="B39" s="35" t="s">
        <v>21</v>
      </c>
      <c r="C39" s="40" t="s">
        <v>10</v>
      </c>
      <c r="D39" s="22">
        <v>2.0</v>
      </c>
      <c r="E39" s="21">
        <v>2.0</v>
      </c>
      <c r="F39" s="41" t="s">
        <v>22</v>
      </c>
      <c r="G39" s="36">
        <f t="array" ref="G39">MINUS(D39, E39)</f>
        <v>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2.75" customHeight="1" outlineLevel="1">
      <c r="A40" s="36" t="s">
        <v>37</v>
      </c>
      <c r="B40" s="36" t="s">
        <v>28</v>
      </c>
      <c r="C40" s="36" t="s">
        <v>10</v>
      </c>
      <c r="D40" s="22">
        <v>0.5</v>
      </c>
      <c r="E40" s="21">
        <v>0.5</v>
      </c>
      <c r="F40" s="39" t="s">
        <v>22</v>
      </c>
      <c r="G40" s="36">
        <f t="array" ref="G40">MINUS(D40, E40)</f>
        <v>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2.75" customHeight="1">
      <c r="A41" s="16" t="s">
        <v>46</v>
      </c>
      <c r="B41" s="17"/>
      <c r="C41" s="17"/>
      <c r="D41" s="17"/>
      <c r="E41" s="17"/>
      <c r="F41" s="19"/>
      <c r="G41" s="2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2.75" customHeight="1" outlineLevel="1">
      <c r="A42" s="42" t="s">
        <v>47</v>
      </c>
      <c r="B42" s="42" t="s">
        <v>28</v>
      </c>
      <c r="C42" s="22" t="s">
        <v>9</v>
      </c>
      <c r="D42" s="22">
        <v>5.0</v>
      </c>
      <c r="E42" s="22">
        <v>7.0</v>
      </c>
      <c r="F42" s="43" t="s">
        <v>22</v>
      </c>
      <c r="G42" s="24">
        <f t="array" ref="G42">MINUS(D42, E42)</f>
        <v>-2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2.75" customHeight="1" outlineLevel="1">
      <c r="A43" s="42" t="s">
        <v>48</v>
      </c>
      <c r="B43" s="42" t="s">
        <v>28</v>
      </c>
      <c r="C43" s="22" t="s">
        <v>11</v>
      </c>
      <c r="D43" s="22">
        <v>1.0</v>
      </c>
      <c r="E43" s="22">
        <v>1.0</v>
      </c>
      <c r="F43" s="43" t="s">
        <v>22</v>
      </c>
      <c r="G43" s="24">
        <f t="array" ref="G43">MINUS(D43, E43)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2.75" customHeight="1" outlineLevel="1">
      <c r="A44" s="42" t="s">
        <v>49</v>
      </c>
      <c r="B44" s="42" t="s">
        <v>21</v>
      </c>
      <c r="C44" s="22" t="s">
        <v>8</v>
      </c>
      <c r="D44" s="22">
        <v>1.0</v>
      </c>
      <c r="E44" s="22">
        <v>1.0</v>
      </c>
      <c r="F44" s="43" t="s">
        <v>22</v>
      </c>
      <c r="G44" s="24">
        <f t="array" ref="G44">MINUS(D44, E44)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2.75" customHeight="1" outlineLevel="1">
      <c r="A45" s="42" t="s">
        <v>48</v>
      </c>
      <c r="B45" s="42" t="s">
        <v>28</v>
      </c>
      <c r="C45" s="22" t="s">
        <v>7</v>
      </c>
      <c r="D45" s="22">
        <v>1.0</v>
      </c>
      <c r="E45" s="22">
        <v>1.0</v>
      </c>
      <c r="F45" s="43" t="s">
        <v>22</v>
      </c>
      <c r="G45" s="24">
        <f t="array" ref="G45">MINUS(D45, E45)</f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2.75" customHeight="1" outlineLevel="1">
      <c r="A46" s="42" t="s">
        <v>50</v>
      </c>
      <c r="B46" s="42" t="s">
        <v>51</v>
      </c>
      <c r="C46" s="22" t="s">
        <v>9</v>
      </c>
      <c r="D46" s="22">
        <v>1.0</v>
      </c>
      <c r="E46" s="22">
        <v>1.0</v>
      </c>
      <c r="F46" s="43" t="s">
        <v>22</v>
      </c>
      <c r="G46" s="24">
        <f t="array" ref="G46">MINUS(D46, E46)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2.75" customHeight="1" outlineLevel="1">
      <c r="A47" s="42" t="s">
        <v>52</v>
      </c>
      <c r="B47" s="42" t="s">
        <v>51</v>
      </c>
      <c r="C47" s="22" t="s">
        <v>9</v>
      </c>
      <c r="D47" s="22">
        <v>3.0</v>
      </c>
      <c r="E47" s="22">
        <v>2.5</v>
      </c>
      <c r="F47" s="43" t="s">
        <v>22</v>
      </c>
      <c r="G47" s="24">
        <f>MINUS(D47,E47)</f>
        <v>0.5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2.75" customHeight="1">
      <c r="A48" s="16" t="s">
        <v>53</v>
      </c>
      <c r="B48" s="17"/>
      <c r="C48" s="17"/>
      <c r="D48" s="17"/>
      <c r="E48" s="17"/>
      <c r="F48" s="19"/>
      <c r="G48" s="2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2.75" customHeight="1" outlineLevel="1">
      <c r="A49" s="44" t="s">
        <v>26</v>
      </c>
      <c r="B49" s="44" t="s">
        <v>24</v>
      </c>
      <c r="C49" s="21" t="s">
        <v>9</v>
      </c>
      <c r="D49" s="21">
        <v>5.0</v>
      </c>
      <c r="E49" s="21">
        <v>4.0</v>
      </c>
      <c r="F49" s="23" t="s">
        <v>22</v>
      </c>
      <c r="G49" s="7">
        <f t="array" ref="G49">MINUS(D49, E49)</f>
        <v>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2.75" customHeight="1" outlineLevel="1">
      <c r="A50" s="44" t="s">
        <v>54</v>
      </c>
      <c r="B50" s="44" t="s">
        <v>51</v>
      </c>
      <c r="C50" s="21" t="s">
        <v>8</v>
      </c>
      <c r="D50" s="21"/>
      <c r="E50" s="21"/>
      <c r="F50" s="38" t="s">
        <v>55</v>
      </c>
      <c r="G50" s="36">
        <f t="array" ref="G50">MINUS(D50, E50)</f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2.75" customHeight="1" outlineLevel="1">
      <c r="A51" s="44" t="s">
        <v>27</v>
      </c>
      <c r="B51" s="44" t="s">
        <v>28</v>
      </c>
      <c r="C51" s="21" t="s">
        <v>8</v>
      </c>
      <c r="D51" s="21">
        <v>1.0</v>
      </c>
      <c r="E51" s="21">
        <v>1.0</v>
      </c>
      <c r="F51" s="23" t="s">
        <v>22</v>
      </c>
      <c r="G51" s="7">
        <f t="array" ref="G51">MINUS(D51, E51)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2.75" customHeight="1" outlineLevel="1">
      <c r="A52" s="42" t="s">
        <v>29</v>
      </c>
      <c r="B52" s="42" t="s">
        <v>28</v>
      </c>
      <c r="C52" s="22" t="s">
        <v>10</v>
      </c>
      <c r="D52" s="22">
        <v>0.5</v>
      </c>
      <c r="E52" s="22">
        <v>0.5</v>
      </c>
      <c r="F52" s="43" t="s">
        <v>22</v>
      </c>
      <c r="G52" s="7">
        <f t="array" ref="G52">MINUS(D52, E52)</f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2.75" customHeight="1">
      <c r="A53" s="16" t="s">
        <v>56</v>
      </c>
      <c r="B53" s="17"/>
      <c r="C53" s="17"/>
      <c r="D53" s="17"/>
      <c r="E53" s="17"/>
      <c r="F53" s="19"/>
      <c r="G53" s="2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2.75" customHeight="1">
      <c r="A54" s="21" t="s">
        <v>57</v>
      </c>
      <c r="B54" s="3"/>
      <c r="C54" s="3"/>
      <c r="D54" s="3"/>
      <c r="E54" s="3"/>
      <c r="F54" s="6"/>
      <c r="G54" s="2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2.75" customHeight="1">
      <c r="A55" s="16" t="s">
        <v>58</v>
      </c>
      <c r="B55" s="17"/>
      <c r="C55" s="17"/>
      <c r="D55" s="17"/>
      <c r="E55" s="17"/>
      <c r="F55" s="19"/>
      <c r="G55" s="2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2.75" customHeight="1" outlineLevel="1">
      <c r="A56" s="44" t="s">
        <v>59</v>
      </c>
      <c r="B56" s="44" t="s">
        <v>51</v>
      </c>
      <c r="C56" s="21" t="s">
        <v>10</v>
      </c>
      <c r="D56" s="21"/>
      <c r="E56" s="3"/>
      <c r="F56" s="38" t="s">
        <v>55</v>
      </c>
      <c r="G56" s="7">
        <f t="array" ref="G56">MINUS(D56, E56)</f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2.75" customHeight="1" outlineLevel="1">
      <c r="A57" s="44" t="s">
        <v>60</v>
      </c>
      <c r="B57" s="44" t="s">
        <v>24</v>
      </c>
      <c r="C57" s="21" t="s">
        <v>9</v>
      </c>
      <c r="D57" s="21">
        <v>2.5</v>
      </c>
      <c r="E57" s="21">
        <v>2.5</v>
      </c>
      <c r="F57" s="23" t="s">
        <v>22</v>
      </c>
      <c r="G57" s="7">
        <f t="array" ref="G57">MINUS(D57, E57)</f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2.75" customHeight="1" outlineLevel="1">
      <c r="A58" s="44" t="s">
        <v>61</v>
      </c>
      <c r="B58" s="44" t="s">
        <v>24</v>
      </c>
      <c r="C58" s="21" t="s">
        <v>9</v>
      </c>
      <c r="D58" s="21">
        <v>2.5</v>
      </c>
      <c r="E58" s="21">
        <v>2.0</v>
      </c>
      <c r="F58" s="23" t="s">
        <v>22</v>
      </c>
      <c r="G58" s="7">
        <f t="array" ref="G58">MINUS(D58, E58)</f>
        <v>0.5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2.75" customHeight="1" outlineLevel="1">
      <c r="A59" s="44" t="s">
        <v>62</v>
      </c>
      <c r="B59" s="44" t="s">
        <v>28</v>
      </c>
      <c r="C59" s="21" t="s">
        <v>11</v>
      </c>
      <c r="D59" s="21">
        <v>1.0</v>
      </c>
      <c r="E59" s="21">
        <v>1.0</v>
      </c>
      <c r="F59" s="23" t="s">
        <v>22</v>
      </c>
      <c r="G59" s="7">
        <f t="array" ref="G59">MINUS(D59, E59)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2.75" customHeight="1" outlineLevel="1">
      <c r="A60" s="42" t="s">
        <v>27</v>
      </c>
      <c r="B60" s="44" t="s">
        <v>28</v>
      </c>
      <c r="C60" s="21" t="s">
        <v>8</v>
      </c>
      <c r="D60" s="21">
        <v>1.0</v>
      </c>
      <c r="E60" s="21">
        <v>1.0</v>
      </c>
      <c r="F60" s="23" t="s">
        <v>22</v>
      </c>
      <c r="G60" s="7">
        <f t="array" ref="G60">MINUS(D60, E60)</f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2.75" customHeight="1" outlineLevel="1">
      <c r="A61" s="44" t="s">
        <v>29</v>
      </c>
      <c r="B61" s="44" t="s">
        <v>28</v>
      </c>
      <c r="C61" s="21" t="s">
        <v>8</v>
      </c>
      <c r="D61" s="21">
        <v>0.5</v>
      </c>
      <c r="E61" s="21">
        <v>0.5</v>
      </c>
      <c r="F61" s="45" t="s">
        <v>22</v>
      </c>
      <c r="G61" s="7">
        <f t="array" ref="G61">MINUS(D61, E61)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2.75" customHeight="1" outlineLevel="1">
      <c r="A62" s="44" t="s">
        <v>63</v>
      </c>
      <c r="B62" s="44" t="s">
        <v>51</v>
      </c>
      <c r="C62" s="21" t="s">
        <v>9</v>
      </c>
      <c r="D62" s="21"/>
      <c r="E62" s="3"/>
      <c r="F62" s="38" t="s">
        <v>55</v>
      </c>
      <c r="G62" s="7">
        <f t="array" ref="G62">MINUS(D62, E62)</f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2.75" customHeight="1" outlineLevel="1">
      <c r="A63" s="44" t="s">
        <v>63</v>
      </c>
      <c r="B63" s="44" t="s">
        <v>51</v>
      </c>
      <c r="C63" s="21" t="s">
        <v>11</v>
      </c>
      <c r="D63" s="21"/>
      <c r="E63" s="3"/>
      <c r="F63" s="38" t="s">
        <v>55</v>
      </c>
      <c r="G63" s="7">
        <f t="array" ref="G63">MINUS(D63, E63)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2.75" customHeight="1" outlineLevel="1">
      <c r="A64" s="44" t="s">
        <v>63</v>
      </c>
      <c r="B64" s="44" t="s">
        <v>51</v>
      </c>
      <c r="C64" s="21" t="s">
        <v>64</v>
      </c>
      <c r="D64" s="21"/>
      <c r="E64" s="3"/>
      <c r="F64" s="38" t="s">
        <v>55</v>
      </c>
      <c r="G64" s="7">
        <f t="array" ref="G64">MINUS(D64, E64)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2.75" customHeight="1">
      <c r="A65" s="16" t="s">
        <v>65</v>
      </c>
      <c r="B65" s="17"/>
      <c r="C65" s="17"/>
      <c r="D65" s="17"/>
      <c r="E65" s="17"/>
      <c r="F65" s="19"/>
      <c r="G65" s="2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2.75" customHeight="1" outlineLevel="1">
      <c r="A66" s="42" t="s">
        <v>66</v>
      </c>
      <c r="B66" s="42" t="s">
        <v>24</v>
      </c>
      <c r="C66" s="22" t="s">
        <v>9</v>
      </c>
      <c r="D66" s="22">
        <v>2.5</v>
      </c>
      <c r="E66" s="22">
        <v>2.5</v>
      </c>
      <c r="F66" s="43" t="s">
        <v>22</v>
      </c>
      <c r="G66" s="7">
        <f t="array" ref="G66">MINUS(D66, E66)</f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2.75" customHeight="1" outlineLevel="1">
      <c r="A67" s="42" t="s">
        <v>67</v>
      </c>
      <c r="B67" s="42" t="s">
        <v>28</v>
      </c>
      <c r="C67" s="22" t="s">
        <v>11</v>
      </c>
      <c r="D67" s="22">
        <v>1.0</v>
      </c>
      <c r="E67" s="22">
        <v>1.5</v>
      </c>
      <c r="F67" s="43" t="s">
        <v>22</v>
      </c>
      <c r="G67" s="7">
        <f t="array" ref="G67">MINUS(D67, E67)</f>
        <v>-0.5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2.75" customHeight="1" outlineLevel="1">
      <c r="A68" s="42" t="s">
        <v>68</v>
      </c>
      <c r="B68" s="42" t="s">
        <v>28</v>
      </c>
      <c r="C68" s="22" t="s">
        <v>9</v>
      </c>
      <c r="D68" s="22">
        <v>1.0</v>
      </c>
      <c r="E68" s="22">
        <v>1.0</v>
      </c>
      <c r="F68" s="43" t="s">
        <v>22</v>
      </c>
      <c r="G68" s="7">
        <f t="array" ref="G68">MINUS(D68, E68)</f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2.75" customHeight="1" outlineLevel="1">
      <c r="A69" s="42" t="s">
        <v>69</v>
      </c>
      <c r="B69" s="42" t="s">
        <v>28</v>
      </c>
      <c r="C69" s="22" t="s">
        <v>8</v>
      </c>
      <c r="D69" s="22">
        <v>6.0</v>
      </c>
      <c r="E69" s="22">
        <v>6.0</v>
      </c>
      <c r="F69" s="43" t="s">
        <v>22</v>
      </c>
      <c r="G69" s="7">
        <f t="array" ref="G69">MINUS(D69, E69)</f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2.75" customHeight="1" outlineLevel="1">
      <c r="A70" s="42" t="s">
        <v>70</v>
      </c>
      <c r="B70" s="42" t="s">
        <v>28</v>
      </c>
      <c r="C70" s="22" t="s">
        <v>11</v>
      </c>
      <c r="D70" s="22">
        <v>3.0</v>
      </c>
      <c r="E70" s="22">
        <v>3.0</v>
      </c>
      <c r="F70" s="43" t="s">
        <v>22</v>
      </c>
      <c r="G70" s="7">
        <f t="array" ref="G70">MINUS(D70, E70)</f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2.75" customHeight="1" outlineLevel="1">
      <c r="A71" s="42" t="s">
        <v>71</v>
      </c>
      <c r="B71" s="42" t="s">
        <v>28</v>
      </c>
      <c r="C71" s="22" t="s">
        <v>9</v>
      </c>
      <c r="D71" s="22">
        <v>1.0</v>
      </c>
      <c r="E71" s="22">
        <v>1.0</v>
      </c>
      <c r="F71" s="43" t="s">
        <v>22</v>
      </c>
      <c r="G71" s="7">
        <f t="array" ref="G71">MINUS(D71, E71)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2.75" customHeight="1" outlineLevel="1">
      <c r="A72" s="44" t="s">
        <v>72</v>
      </c>
      <c r="B72" s="44" t="s">
        <v>73</v>
      </c>
      <c r="C72" s="22" t="s">
        <v>9</v>
      </c>
      <c r="D72" s="21">
        <v>5.0</v>
      </c>
      <c r="E72" s="21">
        <v>5.5</v>
      </c>
      <c r="F72" s="43" t="s">
        <v>22</v>
      </c>
      <c r="G72" s="7">
        <f t="array" ref="G72">MINUS(D72, E72)</f>
        <v>-0.5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2.75" customHeight="1" outlineLevel="1">
      <c r="A73" s="44" t="s">
        <v>74</v>
      </c>
      <c r="B73" s="44" t="s">
        <v>73</v>
      </c>
      <c r="C73" s="22" t="s">
        <v>9</v>
      </c>
      <c r="D73" s="21">
        <v>1.0</v>
      </c>
      <c r="E73" s="21">
        <v>0.5</v>
      </c>
      <c r="F73" s="43" t="s">
        <v>22</v>
      </c>
      <c r="G73" s="7">
        <f t="array" ref="G73">MINUS(D73, E73)</f>
        <v>0.5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2.75" customHeight="1" outlineLevel="1">
      <c r="A74" s="44" t="s">
        <v>75</v>
      </c>
      <c r="B74" s="44" t="s">
        <v>73</v>
      </c>
      <c r="C74" s="21" t="s">
        <v>8</v>
      </c>
      <c r="D74" s="21">
        <v>1.0</v>
      </c>
      <c r="E74" s="21">
        <v>0.5</v>
      </c>
      <c r="F74" s="23" t="s">
        <v>22</v>
      </c>
      <c r="G74" s="7">
        <f t="array" ref="G74">MINUS(D74, E74)</f>
        <v>0.5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2.75" customHeight="1" outlineLevel="1">
      <c r="A75" s="44" t="s">
        <v>76</v>
      </c>
      <c r="B75" s="44" t="s">
        <v>73</v>
      </c>
      <c r="C75" s="21" t="s">
        <v>7</v>
      </c>
      <c r="D75" s="21">
        <v>1.5</v>
      </c>
      <c r="E75" s="21">
        <v>1.0</v>
      </c>
      <c r="F75" s="23" t="s">
        <v>22</v>
      </c>
      <c r="G75" s="7">
        <f t="array" ref="G75">MINUS(D75, E75)</f>
        <v>0.5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2.75" customHeight="1" outlineLevel="1">
      <c r="A76" s="44" t="s">
        <v>77</v>
      </c>
      <c r="B76" s="44" t="s">
        <v>51</v>
      </c>
      <c r="C76" s="21" t="s">
        <v>7</v>
      </c>
      <c r="D76" s="21">
        <v>3.0</v>
      </c>
      <c r="E76" s="21">
        <v>6.0</v>
      </c>
      <c r="F76" s="23" t="s">
        <v>22</v>
      </c>
      <c r="G76" s="7">
        <f t="array" ref="G76">MINUS(D76, E76)</f>
        <v>-3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2.75" customHeight="1" outlineLevel="1">
      <c r="A77" s="44" t="s">
        <v>78</v>
      </c>
      <c r="B77" s="44" t="s">
        <v>28</v>
      </c>
      <c r="C77" s="46" t="s">
        <v>11</v>
      </c>
      <c r="D77" s="21">
        <v>1.0</v>
      </c>
      <c r="E77" s="21">
        <v>1.0</v>
      </c>
      <c r="F77" s="23" t="s">
        <v>22</v>
      </c>
      <c r="G77" s="7">
        <f t="array" ref="G77">MINUS(D77, E77)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2.75" customHeight="1" outlineLevel="1">
      <c r="A78" s="44" t="s">
        <v>79</v>
      </c>
      <c r="B78" s="44" t="s">
        <v>28</v>
      </c>
      <c r="C78" s="46" t="s">
        <v>11</v>
      </c>
      <c r="D78" s="21">
        <v>2.0</v>
      </c>
      <c r="E78" s="21">
        <v>3.0</v>
      </c>
      <c r="F78" s="23" t="s">
        <v>22</v>
      </c>
      <c r="G78" s="7">
        <f t="array" ref="G78">MINUS(D78, E78)</f>
        <v>-1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2.75" customHeight="1" outlineLevel="1">
      <c r="A79" s="44" t="s">
        <v>80</v>
      </c>
      <c r="B79" s="44" t="s">
        <v>28</v>
      </c>
      <c r="C79" s="46" t="s">
        <v>7</v>
      </c>
      <c r="D79" s="21">
        <v>1.0</v>
      </c>
      <c r="E79" s="21">
        <v>1.0</v>
      </c>
      <c r="F79" s="23" t="s">
        <v>22</v>
      </c>
      <c r="G79" s="7">
        <f t="array" ref="G79">MINUS(D79, E79)</f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2.75" customHeight="1" outlineLevel="1">
      <c r="A80" s="44" t="s">
        <v>81</v>
      </c>
      <c r="B80" s="44" t="s">
        <v>51</v>
      </c>
      <c r="C80" s="21" t="s">
        <v>82</v>
      </c>
      <c r="D80" s="21">
        <v>3.0</v>
      </c>
      <c r="E80" s="21">
        <v>4.0</v>
      </c>
      <c r="F80" s="23" t="s">
        <v>22</v>
      </c>
      <c r="G80" s="7">
        <f t="array" ref="G80">MINUS(D80, E80)</f>
        <v>-1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2.75" customHeight="1" outlineLevel="1">
      <c r="A81" s="44" t="s">
        <v>83</v>
      </c>
      <c r="B81" s="44" t="s">
        <v>28</v>
      </c>
      <c r="C81" s="21"/>
      <c r="D81" s="21">
        <v>5.0</v>
      </c>
      <c r="E81" s="21">
        <v>12.0</v>
      </c>
      <c r="F81" s="23" t="s">
        <v>22</v>
      </c>
      <c r="G81" s="7">
        <f t="array" ref="G81">MINUS(D81, E81)</f>
        <v>-7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2.75" customHeight="1" outlineLevel="1">
      <c r="A82" s="44" t="s">
        <v>84</v>
      </c>
      <c r="B82" s="44" t="s">
        <v>51</v>
      </c>
      <c r="C82" s="21" t="s">
        <v>10</v>
      </c>
      <c r="D82" s="21">
        <v>2.0</v>
      </c>
      <c r="E82" s="21">
        <v>2.0</v>
      </c>
      <c r="F82" s="23" t="s">
        <v>22</v>
      </c>
      <c r="G82" s="7">
        <f t="array" ref="G82">MINUS(D82, E82)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2.75" customHeight="1" outlineLevel="1">
      <c r="A83" s="44" t="s">
        <v>85</v>
      </c>
      <c r="B83" s="44" t="s">
        <v>51</v>
      </c>
      <c r="C83" s="21" t="s">
        <v>10</v>
      </c>
      <c r="D83" s="21">
        <v>2.0</v>
      </c>
      <c r="E83" s="21">
        <v>4.0</v>
      </c>
      <c r="F83" s="23" t="s">
        <v>22</v>
      </c>
      <c r="G83" s="7">
        <f t="array" ref="G83">MINUS(D83, E83)</f>
        <v>-2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2.75" customHeight="1" outlineLevel="1">
      <c r="A84" s="44" t="s">
        <v>27</v>
      </c>
      <c r="B84" s="44" t="s">
        <v>28</v>
      </c>
      <c r="C84" s="21" t="s">
        <v>10</v>
      </c>
      <c r="D84" s="21">
        <v>1.0</v>
      </c>
      <c r="E84" s="21">
        <v>1.0</v>
      </c>
      <c r="F84" s="23" t="s">
        <v>22</v>
      </c>
      <c r="G84" s="7">
        <f t="array" ref="G84">MINUS(D84, E84)</f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2.75" customHeight="1" outlineLevel="1">
      <c r="A85" s="44" t="s">
        <v>29</v>
      </c>
      <c r="B85" s="44" t="s">
        <v>28</v>
      </c>
      <c r="C85" s="21" t="s">
        <v>10</v>
      </c>
      <c r="D85" s="21">
        <v>1.0</v>
      </c>
      <c r="E85" s="21">
        <v>1.0</v>
      </c>
      <c r="F85" s="23" t="s">
        <v>22</v>
      </c>
      <c r="G85" s="7">
        <f t="array" ref="G85">MINUS(D85, E85)</f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2.75" customHeight="1" outlineLevel="1">
      <c r="A86" s="44" t="s">
        <v>86</v>
      </c>
      <c r="B86" s="44" t="s">
        <v>51</v>
      </c>
      <c r="C86" s="21" t="s">
        <v>7</v>
      </c>
      <c r="D86" s="21">
        <v>2.0</v>
      </c>
      <c r="E86" s="21">
        <v>4.0</v>
      </c>
      <c r="F86" s="23" t="s">
        <v>22</v>
      </c>
      <c r="G86" s="35">
        <v>-2.0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2.75" customHeight="1" outlineLevel="1">
      <c r="A87" s="44" t="s">
        <v>87</v>
      </c>
      <c r="B87" s="44" t="s">
        <v>88</v>
      </c>
      <c r="C87" s="21" t="s">
        <v>11</v>
      </c>
      <c r="D87" s="21">
        <v>2.0</v>
      </c>
      <c r="E87" s="21">
        <v>3.0</v>
      </c>
      <c r="F87" s="23" t="s">
        <v>22</v>
      </c>
      <c r="G87" s="7">
        <f t="array" ref="G87">MINUS(D87, E87)</f>
        <v>-1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2.75" customHeight="1" outlineLevel="1">
      <c r="A88" s="44" t="s">
        <v>89</v>
      </c>
      <c r="B88" s="44" t="s">
        <v>28</v>
      </c>
      <c r="C88" s="21" t="s">
        <v>8</v>
      </c>
      <c r="D88" s="21">
        <v>2.0</v>
      </c>
      <c r="E88" s="21">
        <v>2.0</v>
      </c>
      <c r="F88" s="23" t="s">
        <v>22</v>
      </c>
      <c r="G88" s="35">
        <v>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2.75" customHeight="1">
      <c r="A89" s="16" t="s">
        <v>90</v>
      </c>
      <c r="B89" s="17"/>
      <c r="C89" s="17"/>
      <c r="D89" s="17"/>
      <c r="E89" s="17"/>
      <c r="F89" s="17"/>
      <c r="G89" s="1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2.75" customHeight="1" outlineLevel="1">
      <c r="A90" s="42" t="s">
        <v>27</v>
      </c>
      <c r="B90" s="44" t="s">
        <v>28</v>
      </c>
      <c r="C90" s="21" t="s">
        <v>11</v>
      </c>
      <c r="D90" s="21">
        <v>1.0</v>
      </c>
      <c r="E90" s="21">
        <v>1.0</v>
      </c>
      <c r="F90" s="23" t="s">
        <v>22</v>
      </c>
      <c r="G90" s="7">
        <f t="array" ref="G90">MINUS(D90, E90)</f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2.75" customHeight="1" outlineLevel="1">
      <c r="A91" s="44" t="s">
        <v>91</v>
      </c>
      <c r="B91" s="44" t="s">
        <v>51</v>
      </c>
      <c r="C91" s="21" t="s">
        <v>8</v>
      </c>
      <c r="D91" s="21">
        <v>6.0</v>
      </c>
      <c r="E91" s="3"/>
      <c r="F91" s="38" t="s">
        <v>55</v>
      </c>
      <c r="G91" s="7">
        <f t="array" ref="G91">MINUS(D91, E91)</f>
        <v>6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2.75" customHeight="1" outlineLevel="1">
      <c r="A92" s="42" t="s">
        <v>66</v>
      </c>
      <c r="B92" s="42" t="s">
        <v>24</v>
      </c>
      <c r="C92" s="22" t="s">
        <v>9</v>
      </c>
      <c r="D92" s="22">
        <v>2.5</v>
      </c>
      <c r="E92" s="22">
        <v>6.0</v>
      </c>
      <c r="F92" s="43" t="s">
        <v>22</v>
      </c>
      <c r="G92" s="7">
        <f t="array" ref="G92">MINUS(D92, E92)</f>
        <v>-3.5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2.75" customHeight="1" outlineLevel="1">
      <c r="A93" s="42" t="s">
        <v>68</v>
      </c>
      <c r="B93" s="42" t="s">
        <v>28</v>
      </c>
      <c r="C93" s="22" t="s">
        <v>9</v>
      </c>
      <c r="D93" s="22">
        <v>0.5</v>
      </c>
      <c r="E93" s="22">
        <v>1.0</v>
      </c>
      <c r="F93" s="43" t="s">
        <v>22</v>
      </c>
      <c r="G93" s="7">
        <f t="array" ref="G93">MINUS(D93, E93)</f>
        <v>-0.5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2.75" customHeight="1" outlineLevel="1">
      <c r="A94" s="42" t="s">
        <v>37</v>
      </c>
      <c r="B94" s="42" t="s">
        <v>28</v>
      </c>
      <c r="C94" s="22" t="s">
        <v>9</v>
      </c>
      <c r="D94" s="22">
        <v>0.5</v>
      </c>
      <c r="E94" s="22">
        <v>0.5</v>
      </c>
      <c r="F94" s="43" t="s">
        <v>22</v>
      </c>
      <c r="G94" s="7">
        <f t="array" ref="G94">MINUS(D94, E94)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2.75" customHeight="1">
      <c r="A95" s="16" t="s">
        <v>92</v>
      </c>
      <c r="B95" s="17"/>
      <c r="C95" s="17"/>
      <c r="D95" s="17"/>
      <c r="E95" s="17"/>
      <c r="F95" s="19"/>
      <c r="G95" s="2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2.75" customHeight="1" outlineLevel="1">
      <c r="A96" s="42" t="s">
        <v>93</v>
      </c>
      <c r="B96" s="42" t="s">
        <v>51</v>
      </c>
      <c r="C96" s="22" t="s">
        <v>9</v>
      </c>
      <c r="D96" s="22">
        <v>10.0</v>
      </c>
      <c r="E96" s="22">
        <v>12.0</v>
      </c>
      <c r="F96" s="43" t="s">
        <v>22</v>
      </c>
      <c r="G96" s="7">
        <f t="array" ref="G96">MINUS(D96, E96)</f>
        <v>-2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2.75" customHeight="1" outlineLevel="1">
      <c r="A97" s="42" t="s">
        <v>94</v>
      </c>
      <c r="B97" s="42" t="s">
        <v>24</v>
      </c>
      <c r="C97" s="22" t="s">
        <v>9</v>
      </c>
      <c r="D97" s="22">
        <v>1.0</v>
      </c>
      <c r="E97" s="22">
        <v>1.0</v>
      </c>
      <c r="F97" s="43" t="s">
        <v>22</v>
      </c>
      <c r="G97" s="7">
        <f t="array" ref="G97">MINUS(D97, E97)</f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2.75" customHeight="1" outlineLevel="1">
      <c r="A98" s="42" t="s">
        <v>95</v>
      </c>
      <c r="B98" s="42" t="s">
        <v>28</v>
      </c>
      <c r="C98" s="22" t="s">
        <v>11</v>
      </c>
      <c r="D98" s="22">
        <v>1.0</v>
      </c>
      <c r="E98" s="22">
        <v>1.0</v>
      </c>
      <c r="F98" s="43" t="s">
        <v>22</v>
      </c>
      <c r="G98" s="7">
        <f t="array" ref="G98">MINUS(D98, E98)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2.75" customHeight="1" outlineLevel="1">
      <c r="A99" s="42" t="s">
        <v>37</v>
      </c>
      <c r="B99" s="42" t="s">
        <v>28</v>
      </c>
      <c r="C99" s="22" t="s">
        <v>10</v>
      </c>
      <c r="D99" s="22">
        <v>0.5</v>
      </c>
      <c r="E99" s="22">
        <v>0.5</v>
      </c>
      <c r="F99" s="43" t="s">
        <v>22</v>
      </c>
      <c r="G99" s="7">
        <f t="array" ref="G99">MINUS(D99, E99)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2.75" customHeight="1" outlineLevel="1">
      <c r="A100" s="42" t="s">
        <v>96</v>
      </c>
      <c r="B100" s="42" t="s">
        <v>51</v>
      </c>
      <c r="C100" s="22" t="s">
        <v>7</v>
      </c>
      <c r="D100" s="22">
        <v>3.0</v>
      </c>
      <c r="E100" s="22">
        <v>3.0</v>
      </c>
      <c r="F100" s="43" t="s">
        <v>22</v>
      </c>
      <c r="G100" s="7">
        <f t="array" ref="G100">MINUS(D100, E100)</f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2.75" customHeight="1">
      <c r="A101" s="16" t="s">
        <v>97</v>
      </c>
      <c r="B101" s="17"/>
      <c r="C101" s="17"/>
      <c r="D101" s="17"/>
      <c r="E101" s="17"/>
      <c r="F101" s="19"/>
      <c r="G101" s="2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2.75" customHeight="1" outlineLevel="1">
      <c r="A102" s="21" t="s">
        <v>98</v>
      </c>
      <c r="B102" s="5"/>
      <c r="C102" s="3"/>
      <c r="D102" s="3"/>
      <c r="E102" s="3"/>
      <c r="F102" s="6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2.75" customHeight="1" outlineLevel="1">
      <c r="A103" s="42" t="s">
        <v>99</v>
      </c>
      <c r="B103" s="42" t="s">
        <v>28</v>
      </c>
      <c r="C103" s="22" t="s">
        <v>9</v>
      </c>
      <c r="D103" s="22">
        <v>1.0</v>
      </c>
      <c r="E103" s="22">
        <v>1.0</v>
      </c>
      <c r="F103" s="43" t="s">
        <v>22</v>
      </c>
      <c r="G103" s="7">
        <f t="array" ref="G103">MINUS(D103, E103)</f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2.75" customHeight="1" outlineLevel="1">
      <c r="A104" s="42" t="s">
        <v>100</v>
      </c>
      <c r="B104" s="42" t="s">
        <v>28</v>
      </c>
      <c r="C104" s="22" t="s">
        <v>9</v>
      </c>
      <c r="D104" s="22">
        <v>2.0</v>
      </c>
      <c r="E104" s="22">
        <v>2.0</v>
      </c>
      <c r="F104" s="43" t="s">
        <v>22</v>
      </c>
      <c r="G104" s="7">
        <f t="array" ref="G104">MINUS(D104, E104)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2.75" customHeight="1" outlineLevel="1">
      <c r="A105" s="42" t="s">
        <v>101</v>
      </c>
      <c r="B105" s="42" t="s">
        <v>28</v>
      </c>
      <c r="C105" s="22" t="s">
        <v>11</v>
      </c>
      <c r="D105" s="22">
        <v>3.0</v>
      </c>
      <c r="E105" s="22">
        <v>3.0</v>
      </c>
      <c r="F105" s="43" t="s">
        <v>22</v>
      </c>
      <c r="G105" s="7">
        <f t="array" ref="G105">MINUS(D105, E105)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2.75" customHeight="1" outlineLevel="1">
      <c r="A106" s="42" t="s">
        <v>37</v>
      </c>
      <c r="B106" s="42" t="s">
        <v>28</v>
      </c>
      <c r="C106" s="22" t="s">
        <v>9</v>
      </c>
      <c r="D106" s="22">
        <v>0.5</v>
      </c>
      <c r="E106" s="22">
        <v>0.5</v>
      </c>
      <c r="F106" s="43" t="s">
        <v>22</v>
      </c>
      <c r="G106" s="7">
        <f t="array" ref="G106">MINUS(D106, E106)</f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2.75" customHeight="1">
      <c r="A107" s="16" t="s">
        <v>102</v>
      </c>
      <c r="B107" s="17"/>
      <c r="C107" s="17"/>
      <c r="D107" s="17"/>
      <c r="E107" s="17"/>
      <c r="F107" s="19"/>
      <c r="G107" s="2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2.75" customHeight="1">
      <c r="A108" s="46" t="s">
        <v>94</v>
      </c>
      <c r="B108" s="44" t="s">
        <v>24</v>
      </c>
      <c r="C108" s="21" t="s">
        <v>9</v>
      </c>
      <c r="D108" s="21">
        <v>5.0</v>
      </c>
      <c r="E108" s="21">
        <v>7.5</v>
      </c>
      <c r="F108" s="23" t="s">
        <v>22</v>
      </c>
      <c r="G108" s="7">
        <f t="array" ref="G108">MINUS(D108, E108)</f>
        <v>-2.5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2.75" customHeight="1">
      <c r="A109" s="46" t="s">
        <v>95</v>
      </c>
      <c r="B109" s="46" t="s">
        <v>28</v>
      </c>
      <c r="C109" s="46" t="s">
        <v>8</v>
      </c>
      <c r="D109" s="21">
        <v>1.0</v>
      </c>
      <c r="E109" s="21">
        <v>2.0</v>
      </c>
      <c r="F109" s="46" t="s">
        <v>22</v>
      </c>
      <c r="G109" s="7">
        <f t="array" ref="G109">MINUS(D109, E109)</f>
        <v>-1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2.75" customHeight="1">
      <c r="A110" s="44" t="s">
        <v>103</v>
      </c>
      <c r="B110" s="44" t="s">
        <v>51</v>
      </c>
      <c r="C110" s="21" t="s">
        <v>9</v>
      </c>
      <c r="D110" s="21">
        <v>3.0</v>
      </c>
      <c r="E110" s="21">
        <v>3.0</v>
      </c>
      <c r="F110" s="23" t="s">
        <v>22</v>
      </c>
      <c r="G110" s="7">
        <f t="array" ref="G110">MINUS(D110, E110)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2.75" customHeight="1">
      <c r="A111" s="44" t="s">
        <v>104</v>
      </c>
      <c r="B111" s="44" t="s">
        <v>21</v>
      </c>
      <c r="C111" s="21" t="s">
        <v>9</v>
      </c>
      <c r="D111" s="21">
        <v>2.5</v>
      </c>
      <c r="E111" s="21">
        <v>2.5</v>
      </c>
      <c r="F111" s="23" t="s">
        <v>22</v>
      </c>
      <c r="G111" s="7">
        <f t="array" ref="G111">MINUS(D111, E111)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2.75" customHeight="1">
      <c r="A112" s="44" t="s">
        <v>105</v>
      </c>
      <c r="B112" s="44" t="s">
        <v>51</v>
      </c>
      <c r="C112" s="21" t="s">
        <v>11</v>
      </c>
      <c r="D112" s="21">
        <v>7.0</v>
      </c>
      <c r="E112" s="21">
        <v>7.0</v>
      </c>
      <c r="F112" s="23" t="s">
        <v>22</v>
      </c>
      <c r="G112" s="7">
        <f t="array" ref="G112">MINUS(D112, E112)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2.75" customHeight="1">
      <c r="A113" s="44" t="s">
        <v>106</v>
      </c>
      <c r="B113" s="44" t="s">
        <v>51</v>
      </c>
      <c r="C113" s="21" t="s">
        <v>11</v>
      </c>
      <c r="D113" s="21">
        <v>3.0</v>
      </c>
      <c r="E113" s="21">
        <v>4.0</v>
      </c>
      <c r="F113" s="23" t="s">
        <v>22</v>
      </c>
      <c r="G113" s="7">
        <f t="array" ref="G113">MINUS(D113, E113)</f>
        <v>-1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2.75" customHeight="1">
      <c r="A114" s="44" t="s">
        <v>107</v>
      </c>
      <c r="B114" s="44" t="s">
        <v>51</v>
      </c>
      <c r="C114" s="21" t="s">
        <v>7</v>
      </c>
      <c r="D114" s="21">
        <v>4.0</v>
      </c>
      <c r="E114" s="21"/>
      <c r="F114" s="23" t="s">
        <v>108</v>
      </c>
      <c r="G114" s="7">
        <f t="array" ref="G114">MINUS(D114, E114)</f>
        <v>4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2.75" customHeight="1">
      <c r="A115" s="44" t="s">
        <v>66</v>
      </c>
      <c r="B115" s="44" t="s">
        <v>24</v>
      </c>
      <c r="C115" s="21" t="s">
        <v>11</v>
      </c>
      <c r="D115" s="21">
        <v>0.5</v>
      </c>
      <c r="E115" s="21">
        <v>0.5</v>
      </c>
      <c r="F115" s="23" t="s">
        <v>22</v>
      </c>
      <c r="G115" s="7">
        <f t="array" ref="G115">MINUS(D115, E115)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2.75" customHeight="1">
      <c r="A116" s="44" t="s">
        <v>68</v>
      </c>
      <c r="B116" s="44" t="s">
        <v>28</v>
      </c>
      <c r="C116" s="21" t="s">
        <v>9</v>
      </c>
      <c r="D116" s="21">
        <v>1.0</v>
      </c>
      <c r="E116" s="21">
        <v>1.0</v>
      </c>
      <c r="F116" s="23" t="s">
        <v>22</v>
      </c>
      <c r="G116" s="7">
        <f t="array" ref="G116">MINUS(D116, E116)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2.75" customHeight="1">
      <c r="A117" s="44" t="s">
        <v>37</v>
      </c>
      <c r="B117" s="44" t="s">
        <v>28</v>
      </c>
      <c r="C117" s="21" t="s">
        <v>9</v>
      </c>
      <c r="D117" s="21">
        <v>0.5</v>
      </c>
      <c r="E117" s="21">
        <v>0.5</v>
      </c>
      <c r="F117" s="23" t="s">
        <v>22</v>
      </c>
      <c r="G117" s="7">
        <f t="array" ref="G117">MINUS(D117, E117)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2.75" customHeight="1">
      <c r="A118" s="44" t="s">
        <v>109</v>
      </c>
      <c r="B118" s="44" t="s">
        <v>51</v>
      </c>
      <c r="C118" s="21" t="s">
        <v>10</v>
      </c>
      <c r="D118" s="21">
        <v>7.0</v>
      </c>
      <c r="E118" s="21">
        <v>7.0</v>
      </c>
      <c r="F118" s="23" t="s">
        <v>22</v>
      </c>
      <c r="G118" s="7">
        <f t="array" ref="G118">MINUS(D118, E118)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2.75" customHeight="1">
      <c r="A119" s="44" t="s">
        <v>110</v>
      </c>
      <c r="B119" s="44" t="s">
        <v>51</v>
      </c>
      <c r="C119" s="21" t="s">
        <v>8</v>
      </c>
      <c r="D119" s="21">
        <v>3.0</v>
      </c>
      <c r="E119" s="21">
        <v>3.0</v>
      </c>
      <c r="F119" s="23" t="s">
        <v>22</v>
      </c>
      <c r="G119" s="7">
        <f t="array" ref="G119">MINUS(D119, E119)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2.75" customHeight="1">
      <c r="A120" s="44" t="s">
        <v>111</v>
      </c>
      <c r="B120" s="44" t="s">
        <v>51</v>
      </c>
      <c r="C120" s="21" t="s">
        <v>8</v>
      </c>
      <c r="D120" s="21">
        <v>3.0</v>
      </c>
      <c r="E120" s="3"/>
      <c r="F120" s="23" t="s">
        <v>108</v>
      </c>
      <c r="G120" s="7">
        <f t="array" ref="G120">MINUS(D120, E120)</f>
        <v>3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2.75" customHeight="1">
      <c r="A121" s="5"/>
      <c r="B121" s="5"/>
      <c r="C121" s="3"/>
      <c r="D121" s="3"/>
      <c r="E121" s="3"/>
      <c r="F121" s="6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2.75" customHeight="1">
      <c r="A122" s="5"/>
      <c r="B122" s="5"/>
      <c r="C122" s="3"/>
      <c r="D122" s="3"/>
      <c r="E122" s="3"/>
      <c r="F122" s="6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2.75" customHeight="1">
      <c r="A123" s="5"/>
      <c r="B123" s="5"/>
      <c r="C123" s="3"/>
      <c r="D123" s="3"/>
      <c r="E123" s="3"/>
      <c r="F123" s="6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2.75" customHeight="1">
      <c r="A124" s="5"/>
      <c r="B124" s="5"/>
      <c r="C124" s="3"/>
      <c r="D124" s="3"/>
      <c r="E124" s="3"/>
      <c r="F124" s="6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2.75" customHeight="1">
      <c r="A125" s="5"/>
      <c r="B125" s="5"/>
      <c r="C125" s="3"/>
      <c r="D125" s="3"/>
      <c r="E125" s="3"/>
      <c r="F125" s="6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2.75" customHeight="1">
      <c r="A126" s="5"/>
      <c r="B126" s="5"/>
      <c r="C126" s="3"/>
      <c r="D126" s="3"/>
      <c r="E126" s="3"/>
      <c r="F126" s="6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2.75" customHeight="1">
      <c r="A127" s="5"/>
      <c r="B127" s="5"/>
      <c r="C127" s="3"/>
      <c r="D127" s="3"/>
      <c r="E127" s="3"/>
      <c r="F127" s="6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2.75" customHeight="1">
      <c r="A128" s="5"/>
      <c r="B128" s="5"/>
      <c r="C128" s="3"/>
      <c r="D128" s="3"/>
      <c r="E128" s="3"/>
      <c r="F128" s="6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2.75" customHeight="1">
      <c r="A129" s="5"/>
      <c r="B129" s="5"/>
      <c r="C129" s="3"/>
      <c r="D129" s="3"/>
      <c r="E129" s="3"/>
      <c r="F129" s="6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2.75" customHeight="1">
      <c r="A130" s="5"/>
      <c r="B130" s="5"/>
      <c r="C130" s="3"/>
      <c r="D130" s="3"/>
      <c r="E130" s="3"/>
      <c r="F130" s="6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2.75" customHeight="1">
      <c r="A131" s="5"/>
      <c r="B131" s="5"/>
      <c r="C131" s="3"/>
      <c r="D131" s="3"/>
      <c r="E131" s="3"/>
      <c r="F131" s="6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2.75" customHeight="1">
      <c r="A132" s="5"/>
      <c r="B132" s="5"/>
      <c r="C132" s="3"/>
      <c r="D132" s="3"/>
      <c r="E132" s="3"/>
      <c r="F132" s="6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2.75" customHeight="1">
      <c r="A133" s="5"/>
      <c r="B133" s="5"/>
      <c r="C133" s="3"/>
      <c r="D133" s="3"/>
      <c r="E133" s="3"/>
      <c r="F133" s="6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2.75" customHeight="1">
      <c r="A134" s="5"/>
      <c r="B134" s="5"/>
      <c r="C134" s="3"/>
      <c r="D134" s="3"/>
      <c r="E134" s="3"/>
      <c r="F134" s="6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2.75" customHeight="1">
      <c r="A135" s="5"/>
      <c r="B135" s="5"/>
      <c r="C135" s="3"/>
      <c r="D135" s="3"/>
      <c r="E135" s="3"/>
      <c r="F135" s="6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2.75" customHeight="1">
      <c r="A136" s="5"/>
      <c r="B136" s="5"/>
      <c r="C136" s="3"/>
      <c r="D136" s="3"/>
      <c r="E136" s="3"/>
      <c r="F136" s="6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2.75" customHeight="1">
      <c r="A137" s="5"/>
      <c r="B137" s="5"/>
      <c r="C137" s="3"/>
      <c r="D137" s="3"/>
      <c r="E137" s="3"/>
      <c r="F137" s="6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2.75" customHeight="1">
      <c r="A138" s="5"/>
      <c r="B138" s="5"/>
      <c r="C138" s="3"/>
      <c r="D138" s="3"/>
      <c r="E138" s="3"/>
      <c r="F138" s="6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2.75" customHeight="1">
      <c r="A139" s="5"/>
      <c r="B139" s="5"/>
      <c r="C139" s="3"/>
      <c r="D139" s="3"/>
      <c r="E139" s="3"/>
      <c r="F139" s="6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2.75" customHeight="1">
      <c r="A140" s="5"/>
      <c r="B140" s="5"/>
      <c r="C140" s="3"/>
      <c r="D140" s="3"/>
      <c r="E140" s="3"/>
      <c r="F140" s="6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2.75" customHeight="1">
      <c r="A141" s="5"/>
      <c r="B141" s="5"/>
      <c r="C141" s="3"/>
      <c r="D141" s="3"/>
      <c r="E141" s="3"/>
      <c r="F141" s="6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2.75" customHeight="1">
      <c r="A142" s="5"/>
      <c r="B142" s="5"/>
      <c r="C142" s="3"/>
      <c r="D142" s="3"/>
      <c r="E142" s="3"/>
      <c r="F142" s="6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2.75" customHeight="1">
      <c r="A143" s="5"/>
      <c r="B143" s="5"/>
      <c r="C143" s="3"/>
      <c r="D143" s="3"/>
      <c r="E143" s="3"/>
      <c r="F143" s="6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2.75" customHeight="1">
      <c r="A144" s="5"/>
      <c r="B144" s="5"/>
      <c r="C144" s="3"/>
      <c r="D144" s="3"/>
      <c r="E144" s="3"/>
      <c r="F144" s="6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2.75" customHeight="1">
      <c r="A145" s="5"/>
      <c r="B145" s="5"/>
      <c r="C145" s="3"/>
      <c r="D145" s="3"/>
      <c r="E145" s="3"/>
      <c r="F145" s="6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2.75" customHeight="1">
      <c r="A146" s="5"/>
      <c r="B146" s="5"/>
      <c r="C146" s="3"/>
      <c r="D146" s="3"/>
      <c r="E146" s="3"/>
      <c r="F146" s="6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2.75" customHeight="1">
      <c r="A147" s="5"/>
      <c r="B147" s="5"/>
      <c r="C147" s="3"/>
      <c r="D147" s="3"/>
      <c r="E147" s="3"/>
      <c r="F147" s="6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2.75" customHeight="1">
      <c r="A148" s="5"/>
      <c r="B148" s="5"/>
      <c r="C148" s="3"/>
      <c r="D148" s="3"/>
      <c r="E148" s="3"/>
      <c r="F148" s="6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2.75" customHeight="1">
      <c r="A149" s="5"/>
      <c r="B149" s="5"/>
      <c r="C149" s="3"/>
      <c r="D149" s="3"/>
      <c r="E149" s="3"/>
      <c r="F149" s="6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2.75" customHeight="1">
      <c r="A150" s="5"/>
      <c r="B150" s="5"/>
      <c r="C150" s="3"/>
      <c r="D150" s="3"/>
      <c r="E150" s="3"/>
      <c r="F150" s="6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2.75" customHeight="1">
      <c r="A151" s="5"/>
      <c r="B151" s="5"/>
      <c r="C151" s="3"/>
      <c r="D151" s="3"/>
      <c r="E151" s="3"/>
      <c r="F151" s="6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2.75" customHeight="1">
      <c r="A152" s="5"/>
      <c r="B152" s="5"/>
      <c r="C152" s="3"/>
      <c r="D152" s="3"/>
      <c r="E152" s="3"/>
      <c r="F152" s="6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2.75" customHeight="1">
      <c r="A153" s="5"/>
      <c r="B153" s="5"/>
      <c r="C153" s="3"/>
      <c r="D153" s="3"/>
      <c r="E153" s="3"/>
      <c r="F153" s="6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</sheetData>
  <mergeCells count="1">
    <mergeCell ref="E1:G2"/>
  </mergeCells>
  <conditionalFormatting sqref="F11:F25 F27:F40 F42:F47 F49:F88 F90:F153">
    <cfRule type="cellIs" dxfId="0" priority="1" operator="equal">
      <formula>"Delayed"</formula>
    </cfRule>
  </conditionalFormatting>
  <conditionalFormatting sqref="F11:F25 F27:F40 F42:F47 F49:F88 F90:F153">
    <cfRule type="cellIs" dxfId="1" priority="2" operator="equal">
      <formula>"Done"</formula>
    </cfRule>
  </conditionalFormatting>
  <conditionalFormatting sqref="F11:F25 F27:F40 F42:F47 F49:F88 F90:F153">
    <cfRule type="cellIs" dxfId="2" priority="3" operator="equal">
      <formula>"Ongoing"</formula>
    </cfRule>
  </conditionalFormatting>
  <conditionalFormatting sqref="F26">
    <cfRule type="cellIs" dxfId="0" priority="4" operator="equal">
      <formula>"Delayed"</formula>
    </cfRule>
  </conditionalFormatting>
  <conditionalFormatting sqref="F26">
    <cfRule type="cellIs" dxfId="1" priority="5" operator="equal">
      <formula>"Done"</formula>
    </cfRule>
  </conditionalFormatting>
  <conditionalFormatting sqref="F26">
    <cfRule type="cellIs" dxfId="2" priority="6" operator="equal">
      <formula>"Ongoing"</formula>
    </cfRule>
  </conditionalFormatting>
  <conditionalFormatting sqref="F41">
    <cfRule type="cellIs" dxfId="0" priority="7" operator="equal">
      <formula>"Delayed"</formula>
    </cfRule>
  </conditionalFormatting>
  <conditionalFormatting sqref="F41">
    <cfRule type="cellIs" dxfId="1" priority="8" operator="equal">
      <formula>"Done"</formula>
    </cfRule>
  </conditionalFormatting>
  <conditionalFormatting sqref="F41">
    <cfRule type="cellIs" dxfId="2" priority="9" operator="equal">
      <formula>"Ongoing"</formula>
    </cfRule>
  </conditionalFormatting>
  <conditionalFormatting sqref="F48 F53:F55 F65 F95 F101 F107">
    <cfRule type="cellIs" dxfId="0" priority="10" operator="equal">
      <formula>"Delayed"</formula>
    </cfRule>
  </conditionalFormatting>
  <conditionalFormatting sqref="F48 F53:F55 F65 F95 F101 F107">
    <cfRule type="cellIs" dxfId="1" priority="11" operator="equal">
      <formula>"Done"</formula>
    </cfRule>
  </conditionalFormatting>
  <conditionalFormatting sqref="F48 F53:F55 F65 F95 F101 F107">
    <cfRule type="cellIs" dxfId="2" priority="12" operator="equal">
      <formula>"Ongoing"</formula>
    </cfRule>
  </conditionalFormatting>
  <dataValidations>
    <dataValidation type="list" allowBlank="1" showInputMessage="1" showErrorMessage="1" prompt=" - " sqref="F11:F49 F51:F55 F57:F60 F65:F88 F90 F92:F108 F110:F153">
      <formula1>"Planned,Ongoing,Delayed,Done"</formula1>
    </dataValidation>
    <dataValidation type="list" allowBlank="1" showInputMessage="1" showErrorMessage="1" prompt="Click and enter a value from the list of items" sqref="F50 F56 F62:F64 F91">
      <formula1>"Planned,Ongoing,Delayed,Done,Discarded"</formula1>
    </dataValidation>
    <dataValidation type="list" allowBlank="1" showInputMessage="1" showErrorMessage="1" prompt=" - " sqref="B11:B88 B89:G89 B90:B108 B110:B153">
      <formula1>"Requirements,Design,Development,Testing,Preparation,Coordination,Documentation,Interfaces,Delivery"</formula1>
    </dataValidation>
  </dataValidations>
  <printOptions/>
  <pageMargins bottom="0.75" footer="0.0" header="0.0" left="0.7" right="0.7" top="0.75"/>
  <pageSetup paperSize="9" orientation="portrait"/>
  <headerFooter>
    <oddHeader>&amp;LEdit the Header with Your Team ID&amp;C&amp;F&amp;R&amp;D</oddHeader>
  </headerFooter>
  <drawing r:id="rId1"/>
</worksheet>
</file>